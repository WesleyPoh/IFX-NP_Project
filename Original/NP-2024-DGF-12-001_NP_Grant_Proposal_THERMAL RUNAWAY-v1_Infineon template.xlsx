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166925"/>
  <mc:AlternateContent xmlns:mc="http://schemas.openxmlformats.org/markup-compatibility/2006">
    <mc:Choice Requires="x15">
      <x15ac:absPath xmlns:x15ac="http://schemas.microsoft.com/office/spreadsheetml/2010/11/ac" url="https://connectnpedu-my.sharepoint.com/personal/wbl2_np_edu_sg/Documents/Documents/04_Other work/02a_Infineon Project/03_Grant Proposal/"/>
    </mc:Choice>
  </mc:AlternateContent>
  <xr:revisionPtr revIDLastSave="0" documentId="10_ncr:200_{5233272F-2468-4D6A-A0F3-53A1BE1A8690}" xr6:coauthVersionLast="47" xr6:coauthVersionMax="47" xr10:uidLastSave="{00000000-0000-0000-0000-000000000000}"/>
  <bookViews>
    <workbookView xWindow="-28920" yWindow="1620" windowWidth="29040" windowHeight="15720" xr2:uid="{78F72B4C-A7F6-4BAF-99B1-49EC457E3FE1}"/>
  </bookViews>
  <sheets>
    <sheet name="Overview" sheetId="1" r:id="rId1"/>
    <sheet name="Project Team - Timeline" sheetId="7" r:id="rId2"/>
    <sheet name="Project Info" sheetId="11" r:id="rId3"/>
  </sheets>
  <externalReferences>
    <externalReference r:id="rId4"/>
  </externalReferences>
  <definedNames>
    <definedName name="CostCentre_Name">'[1]Config panel'!$A$2:$A$32</definedName>
    <definedName name="Fund_Name">'[1]Config panel'!$G$2:$G$21</definedName>
    <definedName name="RevenueCat_Value">'[1]List of accts-SpendCat CT'!$A$118:$E$119</definedName>
    <definedName name="Spend_Cat_Value">'[1]List of accts-SpendCat CT'!$A$1:$E$116</definedName>
    <definedName name="SpendCAT_Desc_CAPEX">'[1]List of accts-SpendCat CT'!$A$3:$A$14</definedName>
    <definedName name="SpendCAT_Desc_EOM">'[1]List of accts-SpendCat CT'!$A$19:$A$21</definedName>
    <definedName name="SpendCAT_Desc_OOE">'[1]List of accts-SpendCat CT'!$A$25:$A$113</definedName>
    <definedName name="WD_Dept_ID">'[1]Config panel'!#REF!</definedName>
    <definedName name="WD_Fund_ID">'[1]Config panel'!$G$2:$H$21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0" i="7" l="1"/>
  <c r="A11" i="7"/>
  <c r="A9" i="7"/>
  <c r="B11" i="7" l="1"/>
  <c r="K34" i="1"/>
  <c r="K30" i="11" l="1"/>
  <c r="K27" i="11"/>
  <c r="K24" i="11"/>
  <c r="K21" i="11"/>
  <c r="K18" i="11"/>
  <c r="K15" i="11"/>
  <c r="K12" i="11"/>
  <c r="K9" i="11"/>
  <c r="K6" i="11"/>
  <c r="K45" i="1" l="1"/>
  <c r="K41" i="1"/>
  <c r="K30" i="1"/>
  <c r="K39" i="1" l="1"/>
  <c r="K26" i="1"/>
</calcChain>
</file>

<file path=xl/sharedStrings.xml><?xml version="1.0" encoding="utf-8"?>
<sst xmlns="http://schemas.openxmlformats.org/spreadsheetml/2006/main" count="133" uniqueCount="84">
  <si>
    <t>Proposal Title</t>
  </si>
  <si>
    <t>Urban Solutions and Sustainability</t>
  </si>
  <si>
    <t>Total Project Value ($)</t>
  </si>
  <si>
    <t>RIE2025 - Domains</t>
  </si>
  <si>
    <t>Project Duration ( Months )</t>
  </si>
  <si>
    <t>Remarks</t>
  </si>
  <si>
    <t>Name</t>
  </si>
  <si>
    <t>Background IP</t>
  </si>
  <si>
    <t>Company Name</t>
  </si>
  <si>
    <t>Designation</t>
  </si>
  <si>
    <t>Salutation</t>
  </si>
  <si>
    <t>Area of Expertise</t>
  </si>
  <si>
    <t>Collaborator Responsibility and project contribution</t>
  </si>
  <si>
    <t>Q1</t>
  </si>
  <si>
    <t>Q2</t>
  </si>
  <si>
    <t>Q3</t>
  </si>
  <si>
    <t>Q4</t>
  </si>
  <si>
    <t>Year 1</t>
  </si>
  <si>
    <t>Year 2</t>
  </si>
  <si>
    <t>Project - Intermediate Milestones</t>
  </si>
  <si>
    <t>Students - Intermediate Milestones</t>
  </si>
  <si>
    <t>Collaborators - Intermediate Milestones</t>
  </si>
  <si>
    <t>~ End of Page ~</t>
  </si>
  <si>
    <t>Mr</t>
  </si>
  <si>
    <t>Dr</t>
  </si>
  <si>
    <t>MNC</t>
  </si>
  <si>
    <t>Company Type</t>
  </si>
  <si>
    <t>NP - Grant Management - Proposal Template ( Oct'21 )</t>
  </si>
  <si>
    <t>ABSTRACT</t>
  </si>
  <si>
    <t>Word Count</t>
  </si>
  <si>
    <t>References</t>
  </si>
  <si>
    <t>Section 3 - Project Team &amp; Time Line</t>
  </si>
  <si>
    <t>Company name and type  auto-populate from Section 1 - Overview
For classification of Company Type, refer to NOTES page.</t>
  </si>
  <si>
    <t>Auto populate from Section 2 - Budget</t>
  </si>
  <si>
    <t>PROPOSAL DETAILS</t>
  </si>
  <si>
    <t>SCOPE OF PROJECT</t>
  </si>
  <si>
    <t>PROJECT DELIVERABLES</t>
  </si>
  <si>
    <t>EXTERNAL COLLABORATOR(S)</t>
  </si>
  <si>
    <t>TIME LINE</t>
  </si>
  <si>
    <t>Section 4 - Project Information</t>
  </si>
  <si>
    <t>What's your PATH TO MARKET? - Describe your PATH TO MARKET by major initiatives, measure of success and timing to market for your idea.</t>
  </si>
  <si>
    <t>What's your COMPETITIVE EDGES of your IDEA? - Describe your COMPETITIVE EDGES by identifying the key benefit and key differentiator. Compare them with your competitors.</t>
  </si>
  <si>
    <r>
      <rPr>
        <b/>
        <sz val="12"/>
        <color theme="1"/>
        <rFont val="Calibri"/>
        <family val="2"/>
        <scheme val="minor"/>
      </rPr>
      <t>Who's on your TEAM? - Describe the strength of your team by referring to its skills, commitment and synergy.</t>
    </r>
    <r>
      <rPr>
        <sz val="12"/>
        <color theme="1"/>
        <rFont val="Calibri"/>
        <family val="2"/>
        <scheme val="minor"/>
      </rPr>
      <t xml:space="preserve">
</t>
    </r>
  </si>
  <si>
    <t>Describe the Novelty of your IDEA. Justify by IP and market scanning.</t>
  </si>
  <si>
    <t>Others</t>
  </si>
  <si>
    <t>As the objective of the RIE2025 grant is to develop commercial products, systems and applications using IP from the local universities, research institutes and Polytechnics and ITE, please be informed that applicants should not propose projects that use IPs created outside of Singapore.</t>
  </si>
  <si>
    <t xml:space="preserve">If a company's background IP(s) is/are invovled, please provide the exact details.   List down the patent reference number(s) if available. </t>
  </si>
  <si>
    <r>
      <t xml:space="preserve">Company Type
</t>
    </r>
    <r>
      <rPr>
        <i/>
        <sz val="8"/>
        <color theme="1"/>
        <rFont val="Calibri"/>
        <family val="2"/>
        <scheme val="minor"/>
      </rPr>
      <t>Auto-populate from Overview</t>
    </r>
  </si>
  <si>
    <r>
      <t>Company Name</t>
    </r>
    <r>
      <rPr>
        <i/>
        <sz val="8"/>
        <color theme="1"/>
        <rFont val="Calibri"/>
        <family val="2"/>
        <scheme val="minor"/>
      </rPr>
      <t xml:space="preserve">
Auto-populate from Overview</t>
    </r>
  </si>
  <si>
    <t>* Relevant to NP Capability Development Grant</t>
  </si>
  <si>
    <t>Please select …</t>
  </si>
  <si>
    <t xml:space="preserve">What is the idea of the project about and it's impact and significance ? </t>
  </si>
  <si>
    <t xml:space="preserve">The Commercial Problem and Opportunity. What are the field of application ? </t>
  </si>
  <si>
    <t>Users and Customers. Who are the potential licensees ?</t>
  </si>
  <si>
    <t>Describe the Technology Readiness Level of the project before and after.</t>
  </si>
  <si>
    <t>N.A.</t>
  </si>
  <si>
    <t>UEN</t>
  </si>
  <si>
    <t>Contribution Cash $</t>
  </si>
  <si>
    <t>Contribution In-Kind $</t>
  </si>
  <si>
    <t>NP - Grant Management - Proposal Template (  July 24 ) v2.5</t>
  </si>
  <si>
    <t>Automotive Battery Thermal Runaway Prediction</t>
  </si>
  <si>
    <t xml:space="preserve">Infineon Technologies </t>
  </si>
  <si>
    <t>Provide microcontrollers and batteries</t>
  </si>
  <si>
    <t>Wesley Poh</t>
  </si>
  <si>
    <t>System Architect</t>
  </si>
  <si>
    <t>AI Application Engineer</t>
  </si>
  <si>
    <t>NA</t>
  </si>
  <si>
    <t>Robert</t>
  </si>
  <si>
    <t>1. Data Collection: Build a time-stamped CSV database of voltage, current, and temperature profiles for battery cells.
2. Data Processing: Clean, preprocess, and extract features for deep-learning model inputs.
3. Model Development: Train and compare predictive models and document model performance.
4. Hardware Integration: Compile and deploy the finalized models onto Infineon controller hardware for commercial EV use.
5. Final Report: Deliver a project report summarizing methods, results, and implementation.</t>
  </si>
  <si>
    <r>
      <t>The rapid adoption of Lithium-ion batteries (LIBs) in electric vehicles is currently hindered by safety concerns, specifically the catastrophic failure mode known as thermal runaway. While Battery Management Systems (BMS) are effective at detecting failures as they occur, there is a critical need for prognostic capabilities that can predict thermal runaway events before the onset of irreversible heat generation. This project investigates the correlation between standard battery cycling parameters—voltage, current, and temperature—and the precursors to thermal runaway.
By performing rigourous charge and discharge tests on batteries under unfavourable environmental conditions, experimental data will be generated by subjecting battery cells to accelerated aging cycles and abusive loading conditions to induce degradation. A time-series dataset will be analyzed to capture the electrochemical evolution of the cells leading up to failure. Using this dataset, a machine learning model can be developed to identify subtle non-linear anomalies in the voltage relaxation and internal resistance curves. These findings will be used to develop data-driven prognosis algorithms into existing BMS architectures</t>
    </r>
    <r>
      <rPr>
        <sz val="11"/>
        <color theme="1"/>
        <rFont val="Calibri"/>
        <family val="2"/>
        <scheme val="minor"/>
      </rPr>
      <t>, significantly enhancing operational safety by isolating at-risk cells before catastrophic failure occurs.</t>
    </r>
  </si>
  <si>
    <r>
      <t xml:space="preserve">The primary objective is to perform rigourous </t>
    </r>
    <r>
      <rPr>
        <sz val="11"/>
        <color theme="1"/>
        <rFont val="Calibri"/>
        <family val="2"/>
        <scheme val="minor"/>
      </rPr>
      <t>testing to gather datasets for development of a predictive model capable of identifying early warning signs (precursors) of thermal runaway in Lithium-ion cells before catastrophic failure occurs. The project will utilize controlled battery cycling to induce degradation and capture high-resolution electrochemical data for analysis.
Experimental Setup &amp; Safety
Test Bench Construction: Setup of battery cyclers (Chroma &amp; NGI) and environmental chambers.
Sensor Integration: Installation of thermocouples, voltage sensors, and strain gauges (if monitoring swelling) on target cells.
Safety Protocols: Implementation of containment vessels and fire suppression systems to manage intentional or accidental thermal events during testing.
Data Generation (Cycling Regimes)
Baseline Characterization: Performing initial capacity and impedance checks on fresh cells.
Accelerated Aging: Subjecting cells to high C-rate cycling and elevated temperatures to speed up degradation.
Abuse/Trigger Testing: Controlled overcharge or overheating protocols designed to push cells toward the "onset" of thermal runaway to capture near-failure data. Constraint: Testing will stop immediately upon detection of thermal runaway initiation (venting or rapid temp rise) to preserve data integrity. 
Data Analysis &amp; Modeling
Extracting key features from raw data, such as coulombic efficiency trends, differential voltage analysis, temperature rate of change, and using them to develop deep learning models for prediction.</t>
    </r>
  </si>
  <si>
    <t>Battery Chamber and cycler setup. Equipment and software training</t>
  </si>
  <si>
    <t>Testing phase and data generation</t>
  </si>
  <si>
    <t>Data collection and processing</t>
  </si>
  <si>
    <t>Model development and hardware integration</t>
  </si>
  <si>
    <t>Battery Chamber and cycler setup. Provide software training</t>
  </si>
  <si>
    <t>Processing of data</t>
  </si>
  <si>
    <t>Undertake training on software and equipment operations</t>
  </si>
  <si>
    <t>Conduct testing and data generation</t>
  </si>
  <si>
    <t>Assist in model development. Prepare report deliverables</t>
  </si>
  <si>
    <t>Users includes industrial consumers, and battery manufacturers and automotive companies who manufactures EV energy storage</t>
  </si>
  <si>
    <t>Current Battery Monitoring Systems (BMS) in the market does not predict a thermal runaway. This idea provides the user a prediction on a thermal runaway and recommend replacement before catastrophic failure occurs. This promotes battery safety in the automotive and energy storage systems.</t>
  </si>
  <si>
    <t>Dr Wesley Poh specialized in
Mr Robert Tan specialized in
Dr Zhu Tai Xiu   
Mr Benjamin Wing 
Ms Jaseema Banu</t>
  </si>
  <si>
    <t>The rapid adoption of Lithium-ion batteries (LIBs) in electric vehicles is currently hindered by safety concerns, specifically the catastrophic failure mode known as thermal runaway. While Battery Management Systems (BMS) are effective at detecting failures as they occur, there is a critical need for prognostic capabilities that can predict thermal runaway events before the onset of irreversible heat generation.
This promotes battery safety in EVs and avoid catasrophic failures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</si>
</sst>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_-[$$-4809]* #,##0.00_-;\-[$$-4809]* #,##0.00_-;_-[$$-4809]* &quot;-&quot;??_-;_-@_-"/>
    <numFmt numFmtId="165" formatCode="_(* #,##0.00_);_(* \(#,##0.00\);_(* &quot;-&quot;??_);_(@_)"/>
  </numFmts>
  <fonts count="12" x14ac:knownFonts="1">
    <font>
      <sz val="11"/>
      <color theme="1"/>
      <name val="Calibri"/>
      <family val="2"/>
      <scheme val="minor"/>
    </font>
    <font>
      <b/>
      <sz val="11"/>
      <color theme="1"/>
      <name val="Calibri"/>
      <family val="2"/>
      <scheme val="minor"/>
    </font>
    <font>
      <b/>
      <sz val="14"/>
      <color theme="1"/>
      <name val="Calibri"/>
      <family val="2"/>
      <scheme val="minor"/>
    </font>
    <font>
      <i/>
      <sz val="10"/>
      <color theme="1"/>
      <name val="Calibri"/>
      <family val="2"/>
      <scheme val="minor"/>
    </font>
    <font>
      <sz val="11"/>
      <color theme="1"/>
      <name val="Calibri"/>
      <family val="2"/>
      <scheme val="minor"/>
    </font>
    <font>
      <sz val="11"/>
      <color rgb="FFFF0000"/>
      <name val="Calibri"/>
      <family val="2"/>
      <scheme val="minor"/>
    </font>
    <font>
      <b/>
      <sz val="12"/>
      <color theme="1"/>
      <name val="Calibri"/>
      <family val="2"/>
      <scheme val="minor"/>
    </font>
    <font>
      <sz val="12"/>
      <color theme="1"/>
      <name val="Calibri"/>
      <family val="2"/>
      <scheme val="minor"/>
    </font>
    <font>
      <i/>
      <sz val="9"/>
      <color theme="1"/>
      <name val="Calibri"/>
      <family val="2"/>
      <scheme val="minor"/>
    </font>
    <font>
      <b/>
      <u/>
      <sz val="14"/>
      <color theme="1"/>
      <name val="Calibri"/>
      <family val="2"/>
      <scheme val="minor"/>
    </font>
    <font>
      <sz val="10"/>
      <name val="Arial"/>
      <family val="2"/>
    </font>
    <font>
      <i/>
      <sz val="8"/>
      <color theme="1"/>
      <name val="Calibri"/>
      <family val="2"/>
      <scheme val="minor"/>
    </font>
  </fonts>
  <fills count="6">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6" tint="0.59999389629810485"/>
        <bgColor indexed="64"/>
      </patternFill>
    </fill>
    <fill>
      <patternFill patternType="solid">
        <fgColor rgb="FF66FF33"/>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medium">
        <color indexed="64"/>
      </left>
      <right/>
      <top style="medium">
        <color indexed="64"/>
      </top>
      <bottom/>
      <diagonal/>
    </border>
    <border>
      <left/>
      <right style="thin">
        <color indexed="64"/>
      </right>
      <top style="medium">
        <color indexed="64"/>
      </top>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s>
  <cellStyleXfs count="4">
    <xf numFmtId="0" fontId="0" fillId="0" borderId="0"/>
    <xf numFmtId="165" fontId="10" fillId="0" borderId="0" applyFont="0" applyFill="0" applyBorder="0" applyAlignment="0" applyProtection="0"/>
    <xf numFmtId="43" fontId="4" fillId="0" borderId="0" applyFont="0" applyFill="0" applyBorder="0" applyAlignment="0" applyProtection="0"/>
    <xf numFmtId="43" fontId="10" fillId="0" borderId="0" applyFont="0" applyFill="0" applyBorder="0" applyAlignment="0" applyProtection="0"/>
  </cellStyleXfs>
  <cellXfs count="89">
    <xf numFmtId="0" fontId="0" fillId="0" borderId="0" xfId="0"/>
    <xf numFmtId="0" fontId="2" fillId="2" borderId="0" xfId="0" applyFont="1" applyFill="1"/>
    <xf numFmtId="0" fontId="0" fillId="2" borderId="0" xfId="0" applyFill="1"/>
    <xf numFmtId="0" fontId="9" fillId="2" borderId="0" xfId="0" applyFont="1" applyFill="1"/>
    <xf numFmtId="0" fontId="6" fillId="2" borderId="0" xfId="0" applyFont="1" applyFill="1"/>
    <xf numFmtId="0" fontId="0" fillId="2" borderId="1" xfId="0" applyFill="1" applyBorder="1"/>
    <xf numFmtId="0" fontId="8" fillId="2" borderId="0" xfId="0" applyFont="1" applyFill="1"/>
    <xf numFmtId="0" fontId="0" fillId="2" borderId="3" xfId="0" applyFill="1" applyBorder="1"/>
    <xf numFmtId="0" fontId="0" fillId="2" borderId="1" xfId="0" applyFill="1" applyBorder="1" applyAlignment="1">
      <alignment horizontal="center"/>
    </xf>
    <xf numFmtId="0" fontId="0" fillId="2" borderId="1" xfId="0" applyFill="1" applyBorder="1" applyAlignment="1">
      <alignment horizontal="center" vertical="center"/>
    </xf>
    <xf numFmtId="0" fontId="0" fillId="2" borderId="1" xfId="0" applyFill="1" applyBorder="1" applyAlignment="1">
      <alignment horizontal="left" vertical="top"/>
    </xf>
    <xf numFmtId="0" fontId="0" fillId="2" borderId="1" xfId="0" applyFill="1" applyBorder="1" applyAlignment="1">
      <alignment wrapText="1"/>
    </xf>
    <xf numFmtId="0" fontId="6" fillId="2" borderId="0" xfId="0" applyFont="1" applyFill="1" applyAlignment="1">
      <alignment vertical="top"/>
    </xf>
    <xf numFmtId="49" fontId="0" fillId="2" borderId="0" xfId="0" applyNumberFormat="1" applyFill="1" applyAlignment="1">
      <alignment horizontal="left" vertical="top"/>
    </xf>
    <xf numFmtId="0" fontId="0" fillId="2" borderId="0" xfId="0" applyFill="1" applyAlignment="1">
      <alignment horizontal="left" vertical="top"/>
    </xf>
    <xf numFmtId="49" fontId="0" fillId="2" borderId="0" xfId="0" applyNumberFormat="1" applyFill="1" applyAlignment="1">
      <alignment horizontal="left" vertical="top" wrapText="1"/>
    </xf>
    <xf numFmtId="49" fontId="0" fillId="2" borderId="0" xfId="0" applyNumberFormat="1" applyFill="1"/>
    <xf numFmtId="0" fontId="6" fillId="2" borderId="0" xfId="0" applyFont="1" applyFill="1" applyAlignment="1">
      <alignment horizontal="left" vertical="top"/>
    </xf>
    <xf numFmtId="0" fontId="0" fillId="2" borderId="0" xfId="0" applyFill="1" applyAlignment="1">
      <alignment horizontal="center"/>
    </xf>
    <xf numFmtId="0" fontId="1" fillId="2" borderId="1" xfId="0" applyFont="1" applyFill="1" applyBorder="1" applyAlignment="1">
      <alignment horizontal="center" wrapText="1"/>
    </xf>
    <xf numFmtId="0" fontId="1" fillId="2" borderId="0" xfId="0" applyFont="1" applyFill="1" applyAlignment="1">
      <alignment horizontal="center"/>
    </xf>
    <xf numFmtId="0" fontId="1" fillId="2" borderId="0" xfId="0" applyFont="1" applyFill="1" applyAlignment="1">
      <alignment horizontal="left" vertical="top" wrapText="1"/>
    </xf>
    <xf numFmtId="0" fontId="1" fillId="2" borderId="1" xfId="0" applyFont="1" applyFill="1" applyBorder="1" applyAlignment="1">
      <alignment horizontal="center" vertical="center"/>
    </xf>
    <xf numFmtId="0" fontId="1" fillId="2" borderId="6" xfId="0" applyFont="1" applyFill="1" applyBorder="1" applyAlignment="1">
      <alignment horizontal="center" vertical="center"/>
    </xf>
    <xf numFmtId="0" fontId="0" fillId="2" borderId="6" xfId="0" applyFill="1" applyBorder="1"/>
    <xf numFmtId="0" fontId="0" fillId="2" borderId="7" xfId="0" applyFill="1" applyBorder="1"/>
    <xf numFmtId="164" fontId="0" fillId="2" borderId="1" xfId="0" applyNumberFormat="1" applyFill="1" applyBorder="1"/>
    <xf numFmtId="0" fontId="5" fillId="2" borderId="0" xfId="0" applyFont="1" applyFill="1"/>
    <xf numFmtId="0" fontId="0" fillId="3" borderId="1" xfId="0" applyFill="1" applyBorder="1"/>
    <xf numFmtId="0" fontId="11" fillId="2" borderId="0" xfId="0" applyFont="1" applyFill="1"/>
    <xf numFmtId="0" fontId="0" fillId="2" borderId="0" xfId="0" applyFill="1" applyAlignment="1">
      <alignment horizontal="left"/>
    </xf>
    <xf numFmtId="0" fontId="0" fillId="2" borderId="0" xfId="0" applyFill="1" applyAlignment="1">
      <alignment horizontal="right"/>
    </xf>
    <xf numFmtId="0" fontId="6" fillId="2" borderId="0" xfId="0" applyFont="1" applyFill="1" applyAlignment="1">
      <alignment horizontal="right" vertical="top"/>
    </xf>
    <xf numFmtId="49" fontId="0" fillId="2" borderId="0" xfId="0" applyNumberFormat="1" applyFill="1" applyAlignment="1">
      <alignment horizontal="right" vertical="top"/>
    </xf>
    <xf numFmtId="0" fontId="0" fillId="4" borderId="3" xfId="0" applyFill="1" applyBorder="1" applyAlignment="1">
      <alignment horizontal="left" vertical="top"/>
    </xf>
    <xf numFmtId="0" fontId="0" fillId="4" borderId="1" xfId="0" applyFill="1" applyBorder="1" applyAlignment="1">
      <alignment horizontal="center" vertical="center"/>
    </xf>
    <xf numFmtId="0" fontId="0" fillId="2" borderId="1" xfId="0" applyFill="1" applyBorder="1" applyAlignment="1">
      <alignment horizontal="center" wrapText="1"/>
    </xf>
    <xf numFmtId="0" fontId="1" fillId="2" borderId="0" xfId="0" applyFont="1" applyFill="1"/>
    <xf numFmtId="164" fontId="0" fillId="2" borderId="1" xfId="0" applyNumberFormat="1" applyFill="1" applyBorder="1" applyAlignment="1">
      <alignment horizontal="center" vertical="center"/>
    </xf>
    <xf numFmtId="0" fontId="0" fillId="2" borderId="8" xfId="0" applyFill="1" applyBorder="1"/>
    <xf numFmtId="0" fontId="0" fillId="5" borderId="1" xfId="0" applyFill="1" applyBorder="1" applyAlignment="1">
      <alignment horizontal="left" vertical="center"/>
    </xf>
    <xf numFmtId="164" fontId="0" fillId="0" borderId="1" xfId="0" applyNumberFormat="1" applyBorder="1" applyAlignment="1">
      <alignment horizontal="center" vertical="center"/>
    </xf>
    <xf numFmtId="0" fontId="0" fillId="0" borderId="1" xfId="0" applyBorder="1"/>
    <xf numFmtId="0" fontId="7" fillId="2" borderId="1" xfId="0" applyFont="1" applyFill="1" applyBorder="1" applyAlignment="1">
      <alignment horizontal="left" vertical="top"/>
    </xf>
    <xf numFmtId="0" fontId="6" fillId="2" borderId="1" xfId="0" applyFont="1" applyFill="1" applyBorder="1" applyAlignment="1">
      <alignment horizontal="left" vertical="top"/>
    </xf>
    <xf numFmtId="49" fontId="3" fillId="2" borderId="1" xfId="0" applyNumberFormat="1" applyFont="1" applyFill="1" applyBorder="1" applyAlignment="1">
      <alignment horizontal="left" vertical="top" wrapText="1"/>
    </xf>
    <xf numFmtId="49" fontId="0" fillId="2" borderId="1" xfId="0" applyNumberFormat="1" applyFill="1" applyBorder="1" applyAlignment="1">
      <alignment horizontal="left" vertical="top" wrapText="1"/>
    </xf>
    <xf numFmtId="0" fontId="0" fillId="2" borderId="1" xfId="0" applyFill="1" applyBorder="1" applyAlignment="1">
      <alignment horizontal="left" vertical="top"/>
    </xf>
    <xf numFmtId="49" fontId="0" fillId="5" borderId="1" xfId="0" applyNumberFormat="1" applyFill="1" applyBorder="1" applyAlignment="1">
      <alignment horizontal="left" vertical="top" wrapText="1"/>
    </xf>
    <xf numFmtId="49" fontId="0" fillId="5" borderId="1" xfId="0" applyNumberFormat="1" applyFill="1" applyBorder="1" applyAlignment="1">
      <alignment horizontal="left" vertical="top"/>
    </xf>
    <xf numFmtId="0" fontId="0" fillId="5" borderId="1" xfId="0" applyFill="1" applyBorder="1" applyAlignment="1">
      <alignment horizontal="left" vertical="top" wrapText="1"/>
    </xf>
    <xf numFmtId="0" fontId="0" fillId="4" borderId="16" xfId="0" applyFill="1" applyBorder="1" applyAlignment="1">
      <alignment horizontal="left" vertical="top"/>
    </xf>
    <xf numFmtId="0" fontId="0" fillId="4" borderId="2" xfId="0" applyFill="1" applyBorder="1" applyAlignment="1">
      <alignment horizontal="left" vertical="top"/>
    </xf>
    <xf numFmtId="0" fontId="7" fillId="5" borderId="1" xfId="0" applyFont="1" applyFill="1" applyBorder="1" applyAlignment="1">
      <alignment horizontal="left" vertical="top" wrapText="1"/>
    </xf>
    <xf numFmtId="0" fontId="6" fillId="5" borderId="1" xfId="0" applyFont="1" applyFill="1" applyBorder="1" applyAlignment="1">
      <alignment horizontal="left" vertical="top" wrapText="1"/>
    </xf>
    <xf numFmtId="0" fontId="0" fillId="5" borderId="1" xfId="0" applyFill="1" applyBorder="1" applyAlignment="1">
      <alignment horizontal="center"/>
    </xf>
    <xf numFmtId="0" fontId="0" fillId="5" borderId="1" xfId="0" applyFill="1" applyBorder="1" applyAlignment="1">
      <alignment horizontal="center" wrapText="1"/>
    </xf>
    <xf numFmtId="0" fontId="0" fillId="4" borderId="1" xfId="0" applyFill="1" applyBorder="1" applyAlignment="1">
      <alignment horizontal="center" vertical="center"/>
    </xf>
    <xf numFmtId="0" fontId="0" fillId="2" borderId="0" xfId="0" applyFill="1" applyAlignment="1">
      <alignment horizontal="center"/>
    </xf>
    <xf numFmtId="0" fontId="8" fillId="2" borderId="18" xfId="0" applyFont="1" applyFill="1" applyBorder="1" applyAlignment="1">
      <alignment horizontal="left" vertical="top" wrapText="1"/>
    </xf>
    <xf numFmtId="0" fontId="8" fillId="2" borderId="18" xfId="0" applyFont="1" applyFill="1" applyBorder="1" applyAlignment="1">
      <alignment horizontal="left" vertical="top"/>
    </xf>
    <xf numFmtId="0" fontId="0" fillId="2" borderId="13" xfId="0" applyFill="1" applyBorder="1" applyAlignment="1">
      <alignment horizontal="left" vertical="top" wrapText="1"/>
    </xf>
    <xf numFmtId="0" fontId="0" fillId="2" borderId="2" xfId="0" applyFill="1" applyBorder="1" applyAlignment="1">
      <alignment horizontal="left" vertical="top" wrapText="1"/>
    </xf>
    <xf numFmtId="0" fontId="1" fillId="2" borderId="10" xfId="0" applyFont="1" applyFill="1" applyBorder="1" applyAlignment="1">
      <alignment horizontal="center" vertical="center" wrapText="1"/>
    </xf>
    <xf numFmtId="0" fontId="1" fillId="2" borderId="11" xfId="0" applyFont="1" applyFill="1" applyBorder="1" applyAlignment="1">
      <alignment horizontal="center" vertical="center" wrapText="1"/>
    </xf>
    <xf numFmtId="0" fontId="1" fillId="2" borderId="12"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1" fillId="2" borderId="1" xfId="0" applyFont="1" applyFill="1" applyBorder="1" applyAlignment="1">
      <alignment horizontal="center" wrapText="1"/>
    </xf>
    <xf numFmtId="0" fontId="1" fillId="2" borderId="1" xfId="0" applyFont="1" applyFill="1" applyBorder="1" applyAlignment="1">
      <alignment horizontal="center"/>
    </xf>
    <xf numFmtId="0" fontId="0" fillId="2" borderId="1" xfId="0" applyFill="1" applyBorder="1" applyAlignment="1">
      <alignment horizontal="center"/>
    </xf>
    <xf numFmtId="0" fontId="0" fillId="2" borderId="1" xfId="0" applyFill="1" applyBorder="1" applyAlignment="1">
      <alignment horizontal="center" wrapText="1"/>
    </xf>
    <xf numFmtId="0" fontId="1" fillId="2" borderId="10" xfId="0" applyFont="1" applyFill="1" applyBorder="1" applyAlignment="1">
      <alignment horizontal="center" vertical="center"/>
    </xf>
    <xf numFmtId="0" fontId="1" fillId="2" borderId="11" xfId="0" applyFont="1" applyFill="1" applyBorder="1" applyAlignment="1">
      <alignment horizontal="center" vertical="center"/>
    </xf>
    <xf numFmtId="0" fontId="1" fillId="2" borderId="12" xfId="0" applyFont="1" applyFill="1" applyBorder="1" applyAlignment="1">
      <alignment horizontal="center" vertical="center"/>
    </xf>
    <xf numFmtId="0" fontId="1" fillId="2" borderId="4" xfId="0" applyFont="1" applyFill="1" applyBorder="1" applyAlignment="1">
      <alignment horizontal="center" vertical="center"/>
    </xf>
    <xf numFmtId="0" fontId="1" fillId="2" borderId="5" xfId="0" applyFont="1" applyFill="1" applyBorder="1" applyAlignment="1">
      <alignment horizontal="center" vertical="center"/>
    </xf>
    <xf numFmtId="0" fontId="1" fillId="2" borderId="9" xfId="0" applyFont="1" applyFill="1" applyBorder="1" applyAlignment="1">
      <alignment horizontal="center" vertical="center"/>
    </xf>
    <xf numFmtId="0" fontId="0" fillId="2" borderId="13" xfId="0" applyFill="1" applyBorder="1" applyAlignment="1">
      <alignment horizontal="left" vertical="top"/>
    </xf>
    <xf numFmtId="0" fontId="0" fillId="2" borderId="2" xfId="0" applyFill="1" applyBorder="1" applyAlignment="1">
      <alignment horizontal="left" vertical="top"/>
    </xf>
    <xf numFmtId="0" fontId="0" fillId="2" borderId="14" xfId="0" applyFill="1" applyBorder="1" applyAlignment="1">
      <alignment horizontal="left" vertical="top"/>
    </xf>
    <xf numFmtId="0" fontId="0" fillId="2" borderId="15" xfId="0" applyFill="1" applyBorder="1" applyAlignment="1">
      <alignment horizontal="left" vertical="top"/>
    </xf>
    <xf numFmtId="0" fontId="0" fillId="2" borderId="14" xfId="0" applyFill="1" applyBorder="1" applyAlignment="1">
      <alignment horizontal="left" vertical="top" wrapText="1"/>
    </xf>
    <xf numFmtId="0" fontId="0" fillId="2" borderId="15" xfId="0" applyFill="1" applyBorder="1" applyAlignment="1">
      <alignment horizontal="left" vertical="top" wrapText="1"/>
    </xf>
    <xf numFmtId="49" fontId="0" fillId="2" borderId="1" xfId="0" applyNumberFormat="1" applyFill="1" applyBorder="1" applyAlignment="1">
      <alignment horizontal="left" vertical="top"/>
    </xf>
    <xf numFmtId="0" fontId="7" fillId="2" borderId="1" xfId="0" applyFont="1" applyFill="1" applyBorder="1" applyAlignment="1">
      <alignment horizontal="left" vertical="top" wrapText="1"/>
    </xf>
    <xf numFmtId="0" fontId="6" fillId="2" borderId="1" xfId="0" applyFont="1" applyFill="1" applyBorder="1" applyAlignment="1">
      <alignment horizontal="left" vertical="top" wrapText="1"/>
    </xf>
    <xf numFmtId="0" fontId="6" fillId="2" borderId="16" xfId="0" applyFont="1" applyFill="1" applyBorder="1" applyAlignment="1">
      <alignment horizontal="left" vertical="top"/>
    </xf>
    <xf numFmtId="0" fontId="6" fillId="2" borderId="17" xfId="0" applyFont="1" applyFill="1" applyBorder="1" applyAlignment="1">
      <alignment horizontal="left" vertical="top"/>
    </xf>
    <xf numFmtId="0" fontId="6" fillId="2" borderId="2" xfId="0" applyFont="1" applyFill="1" applyBorder="1" applyAlignment="1">
      <alignment horizontal="left" vertical="top"/>
    </xf>
  </cellXfs>
  <cellStyles count="4">
    <cellStyle name="Comma 2" xfId="2" xr:uid="{23DC5CCF-83B5-4C50-8D48-D67A2856FF76}"/>
    <cellStyle name="Comma 3" xfId="1" xr:uid="{DE657576-5CD9-43C1-9C67-CF2DB5177D39}"/>
    <cellStyle name="Comma 3 2" xfId="3" xr:uid="{4B123A8C-F594-42D0-B98F-11DF23F8F9D7}"/>
    <cellStyle name="Normal" xfId="0" builtinId="0"/>
  </cellStyles>
  <dxfs count="0"/>
  <tableStyles count="0" defaultTableStyle="TableStyleMedium2" defaultPivotStyle="PivotStyleLight16"/>
  <colors>
    <mruColors>
      <color rgb="FF66FF33"/>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externalLink" Target="externalLinks/externalLink1.xml"/><Relationship Id="rId9" Type="http://schemas.openxmlformats.org/officeDocument/2006/relationships/customXml" Target="../customXml/item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staffhome.np.edu.sg/Users/cwk/AppData/Local/Microsoft/Windows/INetCache/Content.Outlook/61QXA9LJ/Project%20Budget%20Template%20-%20Internal%20(Grant)%20v1.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pporting template"/>
      <sheetName val="Project Manager (WD)"/>
      <sheetName val="List of accts-SpendCat CT"/>
      <sheetName val="Config panel"/>
      <sheetName val="Notes For Finance"/>
    </sheetNames>
    <sheetDataSet>
      <sheetData sheetId="0" refreshError="1"/>
      <sheetData sheetId="1" refreshError="1"/>
      <sheetData sheetId="2">
        <row r="1">
          <cell r="A1" t="str">
            <v>WD Spend Cat Description</v>
          </cell>
          <cell r="B1" t="str">
            <v>Workday Value 2 (WD Spend Cat)</v>
          </cell>
          <cell r="C1" t="str">
            <v>Workday Value (WD Account ID)</v>
          </cell>
          <cell r="D1" t="str">
            <v>WD Account ID Description</v>
          </cell>
          <cell r="E1" t="str">
            <v>EOM, CAPEX, OOE</v>
          </cell>
        </row>
        <row r="2">
          <cell r="A2" t="str">
            <v>CAPEX</v>
          </cell>
        </row>
        <row r="3">
          <cell r="A3" t="str">
            <v>Asset - Audio Visual Equipment</v>
          </cell>
          <cell r="B3" t="str">
            <v>A00013</v>
          </cell>
          <cell r="C3" t="str">
            <v xml:space="preserve">715901 </v>
          </cell>
          <cell r="D3" t="str">
            <v>Cost:Other Equipment &amp; Tools</v>
          </cell>
          <cell r="E3" t="str">
            <v>CAPEX</v>
          </cell>
        </row>
        <row r="4">
          <cell r="A4" t="str">
            <v>Asset - Furniture &amp; Fittings</v>
          </cell>
          <cell r="B4" t="str">
            <v>A00009</v>
          </cell>
          <cell r="C4" t="str">
            <v>715101</v>
          </cell>
          <cell r="D4" t="str">
            <v>Cost:Furniture &amp; Fittings</v>
          </cell>
          <cell r="E4" t="str">
            <v>CAPEX</v>
          </cell>
        </row>
        <row r="5">
          <cell r="A5" t="str">
            <v>Asset - ICT Hardware</v>
          </cell>
          <cell r="B5" t="str">
            <v>A00014</v>
          </cell>
          <cell r="C5" t="str">
            <v>716101</v>
          </cell>
          <cell r="D5" t="str">
            <v>Cost:ICT Hardware</v>
          </cell>
          <cell r="E5" t="str">
            <v>CAPEX</v>
          </cell>
        </row>
        <row r="6">
          <cell r="A6" t="str">
            <v>Asset - ICT Hardware Integrated With Software</v>
          </cell>
          <cell r="B6" t="str">
            <v>A00016</v>
          </cell>
          <cell r="C6" t="str">
            <v>716301</v>
          </cell>
          <cell r="D6" t="str">
            <v>Cost:ICT Hardware Integrated With Software</v>
          </cell>
          <cell r="E6" t="str">
            <v>CAPEX</v>
          </cell>
        </row>
        <row r="7">
          <cell r="A7" t="str">
            <v>Asset - ICT Software</v>
          </cell>
          <cell r="B7" t="str">
            <v>A00015</v>
          </cell>
          <cell r="C7" t="str">
            <v>716201</v>
          </cell>
          <cell r="D7" t="str">
            <v>Cost:ICT Software</v>
          </cell>
          <cell r="E7" t="str">
            <v>CAPEX</v>
          </cell>
        </row>
        <row r="8">
          <cell r="A8" t="str">
            <v>Asset - Mechanical &amp; Electrical System of Building</v>
          </cell>
          <cell r="B8" t="str">
            <v>A00006</v>
          </cell>
          <cell r="C8" t="str">
            <v>711301</v>
          </cell>
          <cell r="D8" t="str">
            <v>Cost:Mechanical &amp; Electrical System of Building</v>
          </cell>
          <cell r="E8" t="str">
            <v>CAPEX</v>
          </cell>
        </row>
        <row r="9">
          <cell r="A9" t="str">
            <v>Asset - Other Equipment &amp; Tools</v>
          </cell>
          <cell r="B9" t="str">
            <v>A00012</v>
          </cell>
          <cell r="C9" t="str">
            <v>715901</v>
          </cell>
          <cell r="D9" t="str">
            <v>Cost:Other Equipment &amp; Tools</v>
          </cell>
          <cell r="E9" t="str">
            <v>CAPEX</v>
          </cell>
        </row>
        <row r="10">
          <cell r="A10" t="str">
            <v>Asset - Scientific Equipment</v>
          </cell>
          <cell r="B10" t="str">
            <v>A00011</v>
          </cell>
          <cell r="C10" t="str">
            <v>715301</v>
          </cell>
          <cell r="D10" t="str">
            <v>Cost:Scientific Equipment</v>
          </cell>
          <cell r="E10" t="str">
            <v>CAPEX</v>
          </cell>
        </row>
        <row r="11">
          <cell r="A11" t="str">
            <v>Cost: Fixtures and Equipment (AUC)</v>
          </cell>
          <cell r="B11" t="str">
            <v>718401SC</v>
          </cell>
          <cell r="C11">
            <v>718401</v>
          </cell>
          <cell r="D11" t="str">
            <v>Cost: Fixtures and Equipment (AUC)</v>
          </cell>
          <cell r="E11" t="str">
            <v>CAPEX</v>
          </cell>
        </row>
        <row r="12">
          <cell r="A12" t="str">
            <v>Cost: ICT Hardware and Software (AUC)</v>
          </cell>
          <cell r="B12" t="str">
            <v>718501SC</v>
          </cell>
          <cell r="C12">
            <v>718501</v>
          </cell>
          <cell r="D12" t="str">
            <v>Cost: ICT Hardware and Software (AUC)</v>
          </cell>
          <cell r="E12" t="str">
            <v>CAPEX</v>
          </cell>
        </row>
        <row r="13">
          <cell r="A13" t="str">
            <v>Cost: Other Intangible Assets(AUC)</v>
          </cell>
          <cell r="B13" t="str">
            <v>718904SC</v>
          </cell>
          <cell r="C13">
            <v>718904</v>
          </cell>
          <cell r="D13" t="str">
            <v>Cost: Other Intangible Assets(AUC)</v>
          </cell>
          <cell r="E13" t="str">
            <v>CAPEX</v>
          </cell>
        </row>
        <row r="14">
          <cell r="A14" t="str">
            <v>Cost: Other Tangible Assets(AUC)</v>
          </cell>
          <cell r="B14" t="str">
            <v>718903SC</v>
          </cell>
          <cell r="C14">
            <v>718903</v>
          </cell>
          <cell r="D14" t="str">
            <v>Cost: Other Tangible Assets(AUC)</v>
          </cell>
          <cell r="E14" t="str">
            <v>CAPEX</v>
          </cell>
        </row>
        <row r="18">
          <cell r="A18" t="str">
            <v>EOM</v>
          </cell>
        </row>
        <row r="19">
          <cell r="A19" t="str">
            <v>Permanent:Basic Salary</v>
          </cell>
          <cell r="B19" t="str">
            <v>151101SC</v>
          </cell>
          <cell r="C19" t="str">
            <v>151100</v>
          </cell>
          <cell r="D19" t="str">
            <v>Permanent:Substantive Salary</v>
          </cell>
          <cell r="E19" t="str">
            <v>EOM</v>
          </cell>
        </row>
        <row r="20">
          <cell r="A20" t="str">
            <v>Salary of Casual Employees</v>
          </cell>
          <cell r="B20" t="str">
            <v>161103SC</v>
          </cell>
          <cell r="C20" t="str">
            <v>161100</v>
          </cell>
          <cell r="D20" t="str">
            <v>Temporary:Substantive Salary</v>
          </cell>
          <cell r="E20" t="str">
            <v>EOM</v>
          </cell>
        </row>
        <row r="21">
          <cell r="A21" t="str">
            <v>Salary of Interns</v>
          </cell>
          <cell r="B21" t="str">
            <v>161104SC</v>
          </cell>
          <cell r="C21" t="str">
            <v>161100</v>
          </cell>
          <cell r="D21" t="str">
            <v>Temporary:Substantive Salary</v>
          </cell>
          <cell r="E21" t="str">
            <v>EOM</v>
          </cell>
        </row>
        <row r="24">
          <cell r="A24" t="str">
            <v>OOE</v>
          </cell>
        </row>
        <row r="25">
          <cell r="A25" t="str">
            <v>Bank Charges</v>
          </cell>
          <cell r="B25" t="str">
            <v>216302SC</v>
          </cell>
          <cell r="C25">
            <v>216300</v>
          </cell>
          <cell r="D25" t="str">
            <v>Financial Services</v>
          </cell>
          <cell r="E25" t="str">
            <v>OOE</v>
          </cell>
        </row>
        <row r="26">
          <cell r="A26" t="str">
            <v>Accounting and Administrative Services</v>
          </cell>
          <cell r="B26" t="str">
            <v>218902SC</v>
          </cell>
          <cell r="C26">
            <v>218900</v>
          </cell>
          <cell r="D26" t="str">
            <v>Other Services</v>
          </cell>
        </row>
        <row r="27">
          <cell r="A27" t="str">
            <v>Agency Fees and Commission Fees</v>
          </cell>
          <cell r="B27" t="str">
            <v>218201SC</v>
          </cell>
          <cell r="C27">
            <v>218200</v>
          </cell>
          <cell r="D27" t="str">
            <v>Agency Fees &amp; Commissions</v>
          </cell>
        </row>
        <row r="28">
          <cell r="A28" t="str">
            <v>Agency Fees for Casual Staff</v>
          </cell>
          <cell r="B28" t="str">
            <v>218203SC</v>
          </cell>
          <cell r="C28">
            <v>218200</v>
          </cell>
          <cell r="D28" t="str">
            <v>Agency Fees &amp; Commissions</v>
          </cell>
        </row>
        <row r="29">
          <cell r="A29" t="str">
            <v>Cataloguing and Acquisition Services</v>
          </cell>
          <cell r="B29" t="str">
            <v>218910SC</v>
          </cell>
          <cell r="C29">
            <v>218900</v>
          </cell>
          <cell r="D29" t="str">
            <v>Other Services</v>
          </cell>
        </row>
        <row r="30">
          <cell r="A30" t="str">
            <v>Catering for Events</v>
          </cell>
          <cell r="B30" t="str">
            <v>213203SC</v>
          </cell>
          <cell r="C30" t="str">
            <v>213200</v>
          </cell>
          <cell r="D30" t="str">
            <v>Meals &amp; Refreshments</v>
          </cell>
          <cell r="E30" t="str">
            <v>OOE</v>
          </cell>
        </row>
        <row r="31">
          <cell r="A31" t="str">
            <v>Collection Arrangement Services</v>
          </cell>
          <cell r="B31" t="str">
            <v>218911SC</v>
          </cell>
          <cell r="C31">
            <v>218900</v>
          </cell>
          <cell r="D31" t="str">
            <v>Other Services</v>
          </cell>
        </row>
        <row r="32">
          <cell r="A32" t="str">
            <v>Consultancy Services - Local</v>
          </cell>
          <cell r="B32" t="str">
            <v>216104SC</v>
          </cell>
          <cell r="C32" t="str">
            <v>216100</v>
          </cell>
          <cell r="D32" t="str">
            <v>Consultancy services</v>
          </cell>
          <cell r="E32" t="str">
            <v>OOE</v>
          </cell>
        </row>
        <row r="33">
          <cell r="A33" t="str">
            <v>Corporate Gifts</v>
          </cell>
          <cell r="B33" t="str">
            <v>242102SC</v>
          </cell>
          <cell r="C33">
            <v>242100</v>
          </cell>
          <cell r="D33" t="str">
            <v>Marketing &amp; Advertising</v>
          </cell>
          <cell r="E33" t="str">
            <v>OOE</v>
          </cell>
        </row>
        <row r="34">
          <cell r="A34" t="str">
            <v>Curatorial Services</v>
          </cell>
          <cell r="B34" t="str">
            <v>218913SC</v>
          </cell>
          <cell r="C34">
            <v>218900</v>
          </cell>
          <cell r="D34" t="str">
            <v>Other Services</v>
          </cell>
        </row>
        <row r="35">
          <cell r="A35" t="str">
            <v>Design services</v>
          </cell>
          <cell r="B35" t="str">
            <v>218909SC</v>
          </cell>
          <cell r="C35">
            <v>218900</v>
          </cell>
          <cell r="D35" t="str">
            <v>Other Services</v>
          </cell>
        </row>
        <row r="36">
          <cell r="A36" t="str">
            <v>Digitization Services</v>
          </cell>
          <cell r="B36" t="str">
            <v>218907SC</v>
          </cell>
          <cell r="C36">
            <v>218900</v>
          </cell>
          <cell r="D36" t="str">
            <v>Other Services</v>
          </cell>
        </row>
        <row r="37">
          <cell r="A37" t="str">
            <v>Disposal of Waste</v>
          </cell>
          <cell r="B37" t="str">
            <v>218915SC</v>
          </cell>
          <cell r="C37">
            <v>218900</v>
          </cell>
          <cell r="D37" t="str">
            <v>Other Services</v>
          </cell>
        </row>
        <row r="38">
          <cell r="A38" t="str">
            <v>Electricity Utilities</v>
          </cell>
          <cell r="B38" t="str">
            <v>214202SC</v>
          </cell>
          <cell r="C38" t="str">
            <v>214200</v>
          </cell>
          <cell r="D38" t="str">
            <v>Electricity and Water and Other Utilities</v>
          </cell>
          <cell r="E38" t="str">
            <v>OOE</v>
          </cell>
        </row>
        <row r="39">
          <cell r="A39" t="str">
            <v>Event Management Fees</v>
          </cell>
          <cell r="B39" t="str">
            <v>218920SC</v>
          </cell>
          <cell r="C39">
            <v>218900</v>
          </cell>
          <cell r="D39" t="str">
            <v>Other Services</v>
          </cell>
        </row>
        <row r="40">
          <cell r="A40" t="str">
            <v>External Audit fees</v>
          </cell>
          <cell r="B40" t="str">
            <v>216401SC</v>
          </cell>
          <cell r="C40" t="str">
            <v>216400</v>
          </cell>
          <cell r="D40" t="str">
            <v>Audit Services</v>
          </cell>
          <cell r="E40" t="str">
            <v>OOE</v>
          </cell>
        </row>
        <row r="41">
          <cell r="A41" t="str">
            <v>Flexi benefits</v>
          </cell>
          <cell r="B41" t="str">
            <v>231401SC</v>
          </cell>
          <cell r="C41">
            <v>231401</v>
          </cell>
          <cell r="D41" t="str">
            <v>Flexi Benefits</v>
          </cell>
          <cell r="E41" t="str">
            <v>OOE</v>
          </cell>
        </row>
        <row r="42">
          <cell r="A42" t="str">
            <v>Freight and Air Charges</v>
          </cell>
          <cell r="B42" t="str">
            <v>218402SC</v>
          </cell>
          <cell r="C42">
            <v>218400</v>
          </cell>
          <cell r="D42" t="str">
            <v>Postage &amp; Courier Services</v>
          </cell>
        </row>
        <row r="43">
          <cell r="A43" t="str">
            <v>GeBIZ fees</v>
          </cell>
          <cell r="B43" t="str">
            <v>217902SC</v>
          </cell>
          <cell r="C43" t="str">
            <v>217900</v>
          </cell>
          <cell r="D43" t="str">
            <v>Other ICT Services</v>
          </cell>
          <cell r="E43" t="str">
            <v>OOE</v>
          </cell>
        </row>
        <row r="44">
          <cell r="A44" t="str">
            <v>GST Expense</v>
          </cell>
          <cell r="B44" t="str">
            <v>283101SC</v>
          </cell>
          <cell r="C44" t="str">
            <v>283100</v>
          </cell>
          <cell r="D44" t="str">
            <v>Goods &amp; Services Tax</v>
          </cell>
          <cell r="E44" t="str">
            <v>OOE</v>
          </cell>
        </row>
        <row r="45">
          <cell r="A45" t="str">
            <v>Honorarium Services</v>
          </cell>
          <cell r="B45" t="str">
            <v>218917SC</v>
          </cell>
          <cell r="C45">
            <v>218900</v>
          </cell>
          <cell r="D45" t="str">
            <v>Other Services</v>
          </cell>
        </row>
        <row r="46">
          <cell r="A46" t="str">
            <v>Insurance for Foreign Staff</v>
          </cell>
          <cell r="B46" t="str">
            <v>281208SC</v>
          </cell>
          <cell r="C46">
            <v>281200</v>
          </cell>
          <cell r="D46" t="str">
            <v>Insurance</v>
          </cell>
        </row>
        <row r="47">
          <cell r="A47" t="str">
            <v>Insurance for Industrial Risk</v>
          </cell>
          <cell r="B47" t="str">
            <v>281206SC</v>
          </cell>
          <cell r="C47">
            <v>281200</v>
          </cell>
          <cell r="D47" t="str">
            <v>Insurance</v>
          </cell>
        </row>
        <row r="48">
          <cell r="A48" t="str">
            <v>Insurance for Others</v>
          </cell>
          <cell r="B48" t="str">
            <v>281299SC</v>
          </cell>
          <cell r="C48">
            <v>281200</v>
          </cell>
          <cell r="D48" t="str">
            <v>Insurance</v>
          </cell>
        </row>
        <row r="49">
          <cell r="A49" t="str">
            <v>Insurance for Professional Liability</v>
          </cell>
          <cell r="B49" t="str">
            <v>281207SC</v>
          </cell>
          <cell r="C49">
            <v>281200</v>
          </cell>
          <cell r="D49" t="str">
            <v>Insurance</v>
          </cell>
        </row>
        <row r="50">
          <cell r="A50" t="str">
            <v>Insurance for Public Liability</v>
          </cell>
          <cell r="B50" t="str">
            <v>281202SC</v>
          </cell>
          <cell r="C50">
            <v>281200</v>
          </cell>
          <cell r="D50" t="str">
            <v>Insurance</v>
          </cell>
        </row>
        <row r="51">
          <cell r="A51" t="str">
            <v>Insurance for Staff</v>
          </cell>
          <cell r="B51" t="str">
            <v>281204SC</v>
          </cell>
          <cell r="C51">
            <v>281200</v>
          </cell>
          <cell r="D51" t="str">
            <v>Insurance</v>
          </cell>
        </row>
        <row r="52">
          <cell r="A52" t="str">
            <v>Insurance for Workmen Compensation</v>
          </cell>
          <cell r="B52" t="str">
            <v>281205SC</v>
          </cell>
          <cell r="C52">
            <v>281200</v>
          </cell>
          <cell r="D52" t="str">
            <v>Insurance</v>
          </cell>
        </row>
        <row r="53">
          <cell r="A53" t="str">
            <v>Insurance of Property Damage</v>
          </cell>
          <cell r="B53" t="str">
            <v>281201SC</v>
          </cell>
          <cell r="C53" t="str">
            <v>281200</v>
          </cell>
          <cell r="D53" t="str">
            <v>Insurance</v>
          </cell>
          <cell r="E53" t="str">
            <v>OOE</v>
          </cell>
        </row>
        <row r="54">
          <cell r="A54" t="str">
            <v>ISO Certification Fees</v>
          </cell>
          <cell r="B54" t="str">
            <v>218921SC</v>
          </cell>
          <cell r="C54">
            <v>218900</v>
          </cell>
          <cell r="D54" t="str">
            <v>Other Services</v>
          </cell>
        </row>
        <row r="55">
          <cell r="A55" t="str">
            <v>Laboratory Services</v>
          </cell>
          <cell r="B55" t="str">
            <v>218918SC</v>
          </cell>
          <cell r="C55">
            <v>218900</v>
          </cell>
          <cell r="D55" t="str">
            <v>Other Services</v>
          </cell>
        </row>
        <row r="56">
          <cell r="A56" t="str">
            <v>Laundry Services</v>
          </cell>
          <cell r="B56" t="str">
            <v>218916SC</v>
          </cell>
          <cell r="C56">
            <v>218900</v>
          </cell>
          <cell r="D56" t="str">
            <v>Other Services</v>
          </cell>
        </row>
        <row r="57">
          <cell r="A57" t="str">
            <v>Legal Fees</v>
          </cell>
          <cell r="B57" t="str">
            <v>216201SC</v>
          </cell>
          <cell r="C57" t="str">
            <v>216200</v>
          </cell>
          <cell r="D57" t="str">
            <v>Legal Services</v>
          </cell>
          <cell r="E57" t="str">
            <v>OOE</v>
          </cell>
        </row>
        <row r="58">
          <cell r="A58" t="str">
            <v>Licence Fees for Non-ICT Usage Rights</v>
          </cell>
          <cell r="B58" t="str">
            <v>218602SC</v>
          </cell>
          <cell r="C58">
            <v>218600</v>
          </cell>
          <cell r="D58" t="str">
            <v>Licences &amp; Royalties</v>
          </cell>
        </row>
        <row r="59">
          <cell r="A59" t="str">
            <v>Local Training – Conference/Registration Fees</v>
          </cell>
          <cell r="B59" t="str">
            <v>231101SC</v>
          </cell>
          <cell r="C59" t="str">
            <v>231100</v>
          </cell>
          <cell r="D59" t="str">
            <v>Staff Training</v>
          </cell>
          <cell r="E59" t="str">
            <v>OOE</v>
          </cell>
        </row>
        <row r="60">
          <cell r="A60" t="str">
            <v>Local Transport</v>
          </cell>
          <cell r="B60" t="str">
            <v>215201SC</v>
          </cell>
          <cell r="C60" t="str">
            <v>215200</v>
          </cell>
          <cell r="D60" t="str">
            <v>Local Transport</v>
          </cell>
          <cell r="E60" t="str">
            <v>OOE</v>
          </cell>
        </row>
        <row r="61">
          <cell r="A61" t="str">
            <v>LVA - Audio &amp; Visual Equipment</v>
          </cell>
          <cell r="B61" t="str">
            <v>275902SC</v>
          </cell>
          <cell r="C61">
            <v>275900</v>
          </cell>
          <cell r="D61" t="str">
            <v>Purchase:Other Equipment &amp; Tools</v>
          </cell>
          <cell r="E61" t="str">
            <v>OOE</v>
          </cell>
        </row>
        <row r="62">
          <cell r="A62" t="str">
            <v>LVA - Furniture and Fittings</v>
          </cell>
          <cell r="B62" t="str">
            <v>275101SC</v>
          </cell>
          <cell r="C62" t="str">
            <v>275100</v>
          </cell>
          <cell r="D62" t="str">
            <v>Purchase:Furniture &amp; Fittings</v>
          </cell>
          <cell r="E62" t="str">
            <v>OOE</v>
          </cell>
        </row>
        <row r="63">
          <cell r="A63" t="str">
            <v>LVA - ICT Hardware</v>
          </cell>
          <cell r="B63" t="str">
            <v>276101SC</v>
          </cell>
          <cell r="C63" t="str">
            <v>276100</v>
          </cell>
          <cell r="D63" t="str">
            <v>Purchase:ICT Hardware</v>
          </cell>
          <cell r="E63" t="str">
            <v>OOE</v>
          </cell>
        </row>
        <row r="64">
          <cell r="A64" t="str">
            <v>LVA - ICT Hardware Integrated with Software</v>
          </cell>
          <cell r="B64" t="str">
            <v>276301SC</v>
          </cell>
          <cell r="C64" t="str">
            <v>276300</v>
          </cell>
          <cell r="D64" t="str">
            <v>Purchase:ICT Hardware</v>
          </cell>
          <cell r="E64" t="str">
            <v>OOE</v>
          </cell>
        </row>
        <row r="65">
          <cell r="A65" t="str">
            <v>LVA - ICT Software</v>
          </cell>
          <cell r="B65" t="str">
            <v>276201SC</v>
          </cell>
          <cell r="C65" t="str">
            <v>276200</v>
          </cell>
          <cell r="D65" t="str">
            <v>Purchase:ICT Software</v>
          </cell>
          <cell r="E65" t="str">
            <v>OOE</v>
          </cell>
        </row>
        <row r="66">
          <cell r="A66" t="str">
            <v>LVA - Mechanical &amp; Electrical System of Building</v>
          </cell>
          <cell r="B66" t="str">
            <v>271301SC</v>
          </cell>
          <cell r="C66" t="str">
            <v>271300</v>
          </cell>
          <cell r="D66" t="str">
            <v>Purchase:Other Equipment &amp; Tools</v>
          </cell>
          <cell r="E66" t="str">
            <v>OOE</v>
          </cell>
        </row>
        <row r="67">
          <cell r="A67" t="str">
            <v>LVA - Other Equipment &amp; Tools</v>
          </cell>
          <cell r="B67" t="str">
            <v>275901SC</v>
          </cell>
          <cell r="C67" t="str">
            <v>275900</v>
          </cell>
          <cell r="D67" t="str">
            <v>Purchase:Other Equipment &amp; Tools</v>
          </cell>
          <cell r="E67" t="str">
            <v>OOE</v>
          </cell>
        </row>
        <row r="68">
          <cell r="A68" t="str">
            <v>LVA - Scientific Equipment</v>
          </cell>
          <cell r="B68" t="str">
            <v>275301SC</v>
          </cell>
          <cell r="C68" t="str">
            <v>275300</v>
          </cell>
          <cell r="D68" t="str">
            <v>Purchase:Scientific Equipment</v>
          </cell>
          <cell r="E68" t="str">
            <v>OOE</v>
          </cell>
        </row>
        <row r="69">
          <cell r="A69" t="str">
            <v>Maintenance of Building</v>
          </cell>
          <cell r="B69" t="str">
            <v>221101SC</v>
          </cell>
          <cell r="C69" t="str">
            <v>221100</v>
          </cell>
          <cell r="D69" t="str">
            <v>Maintenance:Building</v>
          </cell>
          <cell r="E69" t="str">
            <v>OOE</v>
          </cell>
        </row>
        <row r="70">
          <cell r="A70" t="str">
            <v>Maintenance of Computer Software</v>
          </cell>
          <cell r="B70" t="str">
            <v>226201SC</v>
          </cell>
          <cell r="C70" t="str">
            <v>226200</v>
          </cell>
          <cell r="D70" t="str">
            <v>Maintenance:ICT Software</v>
          </cell>
          <cell r="E70" t="str">
            <v>OOE</v>
          </cell>
        </row>
        <row r="71">
          <cell r="A71" t="str">
            <v>Maintenance of Other Equipment &amp; Tools</v>
          </cell>
          <cell r="B71" t="str">
            <v>225901SC</v>
          </cell>
          <cell r="C71" t="str">
            <v>225900</v>
          </cell>
          <cell r="D71" t="str">
            <v>Maintenance:Other Equipment &amp; Tools</v>
          </cell>
          <cell r="E71" t="str">
            <v>OOE</v>
          </cell>
        </row>
        <row r="72">
          <cell r="A72" t="str">
            <v>Management Consultancy</v>
          </cell>
          <cell r="B72" t="str">
            <v>216102SC</v>
          </cell>
          <cell r="C72" t="str">
            <v>216100</v>
          </cell>
          <cell r="D72" t="str">
            <v>Consultancy services</v>
          </cell>
          <cell r="E72" t="str">
            <v>OOE</v>
          </cell>
        </row>
        <row r="73">
          <cell r="A73" t="str">
            <v>Meals &amp; Refreshments</v>
          </cell>
          <cell r="B73" t="str">
            <v>213201SC</v>
          </cell>
          <cell r="C73" t="str">
            <v>213200</v>
          </cell>
          <cell r="D73" t="str">
            <v>Meals &amp; Refreshments</v>
          </cell>
          <cell r="E73" t="str">
            <v>OOE</v>
          </cell>
        </row>
        <row r="74">
          <cell r="A74" t="str">
            <v>Medical and Scientific Services</v>
          </cell>
          <cell r="B74" t="str">
            <v>218914SC</v>
          </cell>
          <cell r="C74">
            <v>218900</v>
          </cell>
          <cell r="D74" t="str">
            <v>Other Services</v>
          </cell>
        </row>
        <row r="75">
          <cell r="A75" t="str">
            <v>Miscellaneous Services</v>
          </cell>
          <cell r="B75" t="str">
            <v>218901SC</v>
          </cell>
          <cell r="C75">
            <v>218900</v>
          </cell>
          <cell r="D75" t="str">
            <v>Other Services</v>
          </cell>
        </row>
        <row r="76">
          <cell r="A76" t="str">
            <v>Monitoring and Investigation Services</v>
          </cell>
          <cell r="B76" t="str">
            <v>218935SC</v>
          </cell>
          <cell r="C76">
            <v>218900</v>
          </cell>
          <cell r="D76" t="str">
            <v>Other Services</v>
          </cell>
        </row>
        <row r="77">
          <cell r="A77" t="str">
            <v>Network and Cabling Support Cost</v>
          </cell>
          <cell r="B77" t="str">
            <v>217201SC</v>
          </cell>
          <cell r="C77" t="str">
            <v>217200</v>
          </cell>
          <cell r="D77" t="str">
            <v>Network &amp; Cabling Services</v>
          </cell>
          <cell r="E77" t="str">
            <v>OOE</v>
          </cell>
        </row>
        <row r="78">
          <cell r="A78" t="str">
            <v>Online Database</v>
          </cell>
          <cell r="B78" t="str">
            <v>213307SC</v>
          </cell>
          <cell r="C78" t="str">
            <v>213300</v>
          </cell>
          <cell r="D78" t="str">
            <v>Publication Materials</v>
          </cell>
          <cell r="E78" t="str">
            <v>OOE</v>
          </cell>
        </row>
        <row r="79">
          <cell r="A79" t="str">
            <v>Other Consultancy Services</v>
          </cell>
          <cell r="B79" t="str">
            <v>216199SC</v>
          </cell>
          <cell r="C79" t="str">
            <v>216100</v>
          </cell>
          <cell r="D79" t="str">
            <v>Consultancy services</v>
          </cell>
          <cell r="E79" t="str">
            <v>OOE</v>
          </cell>
        </row>
        <row r="80">
          <cell r="A80" t="str">
            <v>Other ICT Services</v>
          </cell>
          <cell r="B80" t="str">
            <v>217999SC</v>
          </cell>
          <cell r="C80" t="str">
            <v>217900</v>
          </cell>
          <cell r="D80" t="str">
            <v>Other ICT Services</v>
          </cell>
          <cell r="E80" t="str">
            <v>OOE</v>
          </cell>
        </row>
        <row r="81">
          <cell r="A81" t="str">
            <v>Other Services</v>
          </cell>
          <cell r="B81" t="str">
            <v>218999SC</v>
          </cell>
          <cell r="C81" t="str">
            <v>218900</v>
          </cell>
          <cell r="D81" t="str">
            <v>Other Services</v>
          </cell>
          <cell r="E81" t="str">
            <v>OOE</v>
          </cell>
        </row>
        <row r="82">
          <cell r="A82" t="str">
            <v>Other Supplies</v>
          </cell>
          <cell r="B82" t="str">
            <v>213998SC</v>
          </cell>
          <cell r="C82" t="str">
            <v>213900</v>
          </cell>
          <cell r="D82" t="str">
            <v>Other Supplies</v>
          </cell>
          <cell r="E82" t="str">
            <v>OOE</v>
          </cell>
        </row>
        <row r="83">
          <cell r="A83" t="str">
            <v>Other Utilities Charges</v>
          </cell>
          <cell r="B83" t="str">
            <v>214299SC</v>
          </cell>
          <cell r="C83" t="str">
            <v>214200</v>
          </cell>
          <cell r="D83" t="str">
            <v>Electricity and Water and Other Utilities</v>
          </cell>
          <cell r="E83" t="str">
            <v>OOE</v>
          </cell>
        </row>
        <row r="84">
          <cell r="A84" t="str">
            <v>Overseas Training - Airfare</v>
          </cell>
          <cell r="B84" t="str">
            <v>215102SC</v>
          </cell>
          <cell r="C84">
            <v>215100</v>
          </cell>
          <cell r="D84" t="str">
            <v>Overseas Travel</v>
          </cell>
          <cell r="E84" t="str">
            <v>OOE</v>
          </cell>
        </row>
        <row r="85">
          <cell r="A85" t="str">
            <v>Overseas Training – Conference/Registration Fees</v>
          </cell>
          <cell r="B85" t="str">
            <v>231102SC</v>
          </cell>
          <cell r="C85">
            <v>231100</v>
          </cell>
          <cell r="D85" t="str">
            <v>Staff Training</v>
          </cell>
          <cell r="E85" t="str">
            <v>OOE</v>
          </cell>
        </row>
        <row r="86">
          <cell r="A86" t="str">
            <v>Overseas Training - Other Travel Expenses</v>
          </cell>
          <cell r="B86" t="str">
            <v>215140SC</v>
          </cell>
          <cell r="C86">
            <v>215100</v>
          </cell>
          <cell r="D86" t="str">
            <v>Overseas Travel</v>
          </cell>
          <cell r="E86" t="str">
            <v>OOE</v>
          </cell>
        </row>
        <row r="87">
          <cell r="A87" t="str">
            <v>Photography and Videography Services</v>
          </cell>
          <cell r="B87" t="str">
            <v>218936SC</v>
          </cell>
          <cell r="C87">
            <v>218900</v>
          </cell>
          <cell r="D87" t="str">
            <v>Other Services</v>
          </cell>
        </row>
        <row r="88">
          <cell r="A88" t="str">
            <v>Postage and Courier Services</v>
          </cell>
          <cell r="B88" t="str">
            <v>218401SC</v>
          </cell>
          <cell r="C88" t="str">
            <v>218400</v>
          </cell>
          <cell r="D88" t="str">
            <v>Postage &amp; Courier Services</v>
          </cell>
          <cell r="E88" t="str">
            <v>OOE</v>
          </cell>
        </row>
        <row r="89">
          <cell r="A89" t="str">
            <v>Printed Books Purchased</v>
          </cell>
          <cell r="B89" t="str">
            <v>213303SC</v>
          </cell>
          <cell r="C89" t="str">
            <v>213300</v>
          </cell>
          <cell r="D89" t="str">
            <v>Publication Materials</v>
          </cell>
          <cell r="E89" t="str">
            <v>OOE</v>
          </cell>
        </row>
        <row r="90">
          <cell r="A90" t="str">
            <v>Printed Publication Materials</v>
          </cell>
          <cell r="B90" t="str">
            <v>213301SC</v>
          </cell>
          <cell r="C90" t="str">
            <v>213300</v>
          </cell>
          <cell r="D90" t="str">
            <v>Publication Materials</v>
          </cell>
          <cell r="E90" t="str">
            <v>OOE</v>
          </cell>
        </row>
        <row r="91">
          <cell r="A91" t="str">
            <v>Printing and Photocopying services</v>
          </cell>
          <cell r="B91" t="str">
            <v>218905SC</v>
          </cell>
          <cell r="C91">
            <v>218900</v>
          </cell>
          <cell r="D91" t="str">
            <v>Other Services</v>
          </cell>
        </row>
        <row r="92">
          <cell r="A92" t="str">
            <v>Professional &amp; Practice Licence Fees</v>
          </cell>
          <cell r="B92" t="str">
            <v>218603SC</v>
          </cell>
          <cell r="C92">
            <v>218600</v>
          </cell>
          <cell r="D92" t="str">
            <v>Licences &amp; Royalties</v>
          </cell>
        </row>
        <row r="93">
          <cell r="A93" t="str">
            <v>Recruitment fee</v>
          </cell>
          <cell r="B93" t="str">
            <v>218202SC</v>
          </cell>
          <cell r="C93">
            <v>218200</v>
          </cell>
          <cell r="D93" t="str">
            <v>Agency Fees &amp; Commissions</v>
          </cell>
        </row>
        <row r="94">
          <cell r="A94" t="str">
            <v>Rental of Computers &amp; Laptops</v>
          </cell>
          <cell r="B94" t="str">
            <v>212501SC</v>
          </cell>
          <cell r="C94" t="str">
            <v>212500</v>
          </cell>
          <cell r="D94" t="str">
            <v>ICT Hardware</v>
          </cell>
          <cell r="E94" t="str">
            <v>OOE</v>
          </cell>
        </row>
        <row r="95">
          <cell r="A95" t="str">
            <v>Rental of Office Premise</v>
          </cell>
          <cell r="B95" t="str">
            <v>212101SC</v>
          </cell>
          <cell r="C95" t="str">
            <v>212100</v>
          </cell>
          <cell r="D95" t="str">
            <v>Building</v>
          </cell>
          <cell r="E95" t="str">
            <v>OOE</v>
          </cell>
        </row>
        <row r="96">
          <cell r="A96" t="str">
            <v>Rental of Other Assets</v>
          </cell>
          <cell r="B96" t="str">
            <v>212901SC</v>
          </cell>
          <cell r="C96" t="str">
            <v>212900</v>
          </cell>
          <cell r="D96" t="str">
            <v>Other Assets</v>
          </cell>
          <cell r="E96" t="str">
            <v>OOE</v>
          </cell>
        </row>
        <row r="97">
          <cell r="A97" t="str">
            <v>Rental of Other Equipment</v>
          </cell>
          <cell r="B97" t="str">
            <v>212401SC</v>
          </cell>
          <cell r="C97" t="str">
            <v>212400</v>
          </cell>
          <cell r="D97" t="str">
            <v>Other Equipment</v>
          </cell>
          <cell r="E97" t="str">
            <v>OOE</v>
          </cell>
        </row>
        <row r="98">
          <cell r="A98" t="str">
            <v>Rental of Venue for Events</v>
          </cell>
          <cell r="B98" t="str">
            <v>212105SC</v>
          </cell>
          <cell r="C98" t="str">
            <v>212100</v>
          </cell>
          <cell r="D98" t="str">
            <v>Building</v>
          </cell>
          <cell r="E98" t="str">
            <v>OOE</v>
          </cell>
        </row>
        <row r="99">
          <cell r="A99" t="str">
            <v>Research and Survey Services</v>
          </cell>
          <cell r="B99" t="str">
            <v>218903SC</v>
          </cell>
          <cell r="C99">
            <v>218900</v>
          </cell>
          <cell r="D99" t="str">
            <v>Other Services</v>
          </cell>
        </row>
        <row r="100">
          <cell r="A100" t="str">
            <v>Research Expenses</v>
          </cell>
          <cell r="B100" t="str">
            <v>213910SC</v>
          </cell>
          <cell r="C100" t="str">
            <v>213900</v>
          </cell>
          <cell r="D100" t="str">
            <v>Other Supplies</v>
          </cell>
          <cell r="E100" t="str">
            <v>OOE</v>
          </cell>
        </row>
        <row r="101">
          <cell r="A101" t="str">
            <v>Royalty Fees</v>
          </cell>
          <cell r="B101" t="str">
            <v>218601SC</v>
          </cell>
          <cell r="C101" t="str">
            <v>218600</v>
          </cell>
          <cell r="D101" t="str">
            <v>Licences &amp; Royalties</v>
          </cell>
          <cell r="E101" t="str">
            <v>OOE</v>
          </cell>
        </row>
        <row r="102">
          <cell r="A102" t="str">
            <v>Secondment Fees for Government Bodies</v>
          </cell>
          <cell r="B102" t="str">
            <v>218908SC</v>
          </cell>
          <cell r="C102">
            <v>218900</v>
          </cell>
          <cell r="D102" t="str">
            <v>Other Services</v>
          </cell>
        </row>
        <row r="103">
          <cell r="A103" t="str">
            <v>Secretarial Services</v>
          </cell>
          <cell r="B103" t="str">
            <v>218937SC</v>
          </cell>
          <cell r="C103">
            <v>218900</v>
          </cell>
          <cell r="D103" t="str">
            <v>Other Services</v>
          </cell>
        </row>
        <row r="104">
          <cell r="A104" t="str">
            <v>Security Services for Buildings</v>
          </cell>
          <cell r="B104" t="str">
            <v>216701SC</v>
          </cell>
          <cell r="C104" t="str">
            <v>216700</v>
          </cell>
          <cell r="D104" t="str">
            <v>Security Services for Buildings</v>
          </cell>
          <cell r="E104" t="str">
            <v>OOE</v>
          </cell>
        </row>
        <row r="105">
          <cell r="A105" t="str">
            <v>Small Value Assets (Non-Trackable)</v>
          </cell>
          <cell r="B105" t="str">
            <v>277905SC</v>
          </cell>
          <cell r="C105">
            <v>277900</v>
          </cell>
          <cell r="D105" t="str">
            <v>Purchase:Other Assets</v>
          </cell>
          <cell r="E105" t="str">
            <v>OOE</v>
          </cell>
        </row>
        <row r="106">
          <cell r="A106" t="str">
            <v>Staff Insurance</v>
          </cell>
          <cell r="B106" t="str">
            <v>281204SC</v>
          </cell>
          <cell r="C106" t="str">
            <v>281200</v>
          </cell>
          <cell r="D106" t="str">
            <v>Insurance</v>
          </cell>
          <cell r="E106" t="str">
            <v>OOE</v>
          </cell>
        </row>
        <row r="107">
          <cell r="A107" t="str">
            <v>Storage and Sorting Services</v>
          </cell>
          <cell r="B107" t="str">
            <v>218904SC</v>
          </cell>
          <cell r="C107">
            <v>218900</v>
          </cell>
          <cell r="D107" t="str">
            <v>Other Services</v>
          </cell>
        </row>
        <row r="108">
          <cell r="A108" t="str">
            <v>Telephone Charges</v>
          </cell>
          <cell r="B108" t="str">
            <v>214101SC</v>
          </cell>
          <cell r="C108" t="str">
            <v>214100</v>
          </cell>
          <cell r="D108" t="str">
            <v>Telecommunications</v>
          </cell>
          <cell r="E108" t="str">
            <v>OOE</v>
          </cell>
        </row>
        <row r="109">
          <cell r="A109" t="str">
            <v>Translation and Transcript Services</v>
          </cell>
          <cell r="B109" t="str">
            <v>218912SC</v>
          </cell>
          <cell r="C109">
            <v>218900</v>
          </cell>
          <cell r="D109" t="str">
            <v>Other Services</v>
          </cell>
        </row>
        <row r="110">
          <cell r="A110" t="str">
            <v>Water Utilities</v>
          </cell>
          <cell r="B110" t="str">
            <v>214201SC</v>
          </cell>
          <cell r="C110" t="str">
            <v>214200</v>
          </cell>
          <cell r="D110" t="str">
            <v>Electricity and Water and Other Utilities</v>
          </cell>
          <cell r="E110" t="str">
            <v>OOE</v>
          </cell>
        </row>
        <row r="111">
          <cell r="A111" t="str">
            <v>Website Hosting Services</v>
          </cell>
          <cell r="B111" t="str">
            <v>217101SC</v>
          </cell>
          <cell r="C111" t="str">
            <v>217100</v>
          </cell>
          <cell r="D111" t="str">
            <v>Hosting Services</v>
          </cell>
          <cell r="E111" t="str">
            <v>OOE</v>
          </cell>
        </row>
        <row r="112">
          <cell r="A112" t="str">
            <v>Withholding Tax</v>
          </cell>
          <cell r="B112" t="str">
            <v>283902SC</v>
          </cell>
          <cell r="C112" t="str">
            <v>283900</v>
          </cell>
          <cell r="D112" t="str">
            <v>Other Tax</v>
          </cell>
          <cell r="E112" t="str">
            <v>OOE</v>
          </cell>
        </row>
        <row r="113">
          <cell r="A113" t="str">
            <v>Work Permit Processing Fees</v>
          </cell>
          <cell r="B113" t="str">
            <v>218919SC</v>
          </cell>
          <cell r="C113">
            <v>218900</v>
          </cell>
          <cell r="D113" t="str">
            <v>Other Services</v>
          </cell>
        </row>
        <row r="118">
          <cell r="A118" t="str">
            <v>Misc Revenue on Licences and Royalties</v>
          </cell>
          <cell r="B118" t="str">
            <v>J11106RC</v>
          </cell>
          <cell r="C118" t="str">
            <v>J11100</v>
          </cell>
          <cell r="D118" t="str">
            <v>Miscellaneous Revenue</v>
          </cell>
          <cell r="E118" t="str">
            <v>REV</v>
          </cell>
        </row>
        <row r="119">
          <cell r="A119" t="str">
            <v>Miscellaneous Revenue</v>
          </cell>
          <cell r="B119" t="str">
            <v>J11105RC</v>
          </cell>
          <cell r="C119" t="str">
            <v>J11100</v>
          </cell>
          <cell r="D119" t="str">
            <v>Miscellaneous Revenue</v>
          </cell>
          <cell r="E119" t="str">
            <v>REV</v>
          </cell>
        </row>
      </sheetData>
      <sheetData sheetId="3">
        <row r="2">
          <cell r="A2" t="str">
            <v>Academic Planning Office</v>
          </cell>
          <cell r="G2" t="str">
            <v>Translational Innovation Fund</v>
          </cell>
          <cell r="H2" t="str">
            <v>NPO_DCG0020</v>
          </cell>
        </row>
        <row r="3">
          <cell r="A3" t="str">
            <v>Centre for Learning &amp; Teaching Excellence</v>
          </cell>
          <cell r="G3" t="str">
            <v>MOE Core Funding</v>
          </cell>
          <cell r="H3" t="str">
            <v>NPO_DCG0021</v>
          </cell>
        </row>
        <row r="4">
          <cell r="A4" t="str">
            <v>Centre of Innovation (Environmental &amp; Water Technology)</v>
          </cell>
          <cell r="G4" t="str">
            <v>MOE Gap funding</v>
          </cell>
          <cell r="H4" t="str">
            <v>NPO_DCG0022</v>
          </cell>
        </row>
        <row r="5">
          <cell r="A5" t="str">
            <v>CET Academy</v>
          </cell>
          <cell r="G5" t="str">
            <v>Grants OHs Income no Proj ID</v>
          </cell>
          <cell r="H5" t="str">
            <v>NPO_FND0042</v>
          </cell>
        </row>
        <row r="6">
          <cell r="A6" t="str">
            <v>Computer Centre</v>
          </cell>
          <cell r="G6" t="str">
            <v>TSF specific no Proj ID</v>
          </cell>
          <cell r="H6" t="str">
            <v>NPO_FND0043</v>
          </cell>
        </row>
        <row r="7">
          <cell r="A7" t="str">
            <v>Corporate Communications</v>
          </cell>
          <cell r="G7" t="str">
            <v>Edn Fund - NP (formerly NPGF)</v>
          </cell>
          <cell r="H7" t="str">
            <v>NPO_FND0071</v>
          </cell>
        </row>
        <row r="8">
          <cell r="A8" t="str">
            <v>Estate and Eco Safety Office</v>
          </cell>
          <cell r="G8" t="str">
            <v>Self-Financing</v>
          </cell>
          <cell r="H8" t="str">
            <v>NPO_FND0110</v>
          </cell>
        </row>
        <row r="9">
          <cell r="A9" t="str">
            <v>Finance Office</v>
          </cell>
          <cell r="G9" t="str">
            <v>Self Financing (R&amp;D)</v>
          </cell>
          <cell r="H9" t="str">
            <v>NPO_FND0111</v>
          </cell>
        </row>
        <row r="10">
          <cell r="A10" t="str">
            <v>Global Innovation Alliance</v>
          </cell>
          <cell r="G10" t="str">
            <v>A*Star</v>
          </cell>
          <cell r="H10" t="str">
            <v>NPO_FND0116</v>
          </cell>
        </row>
        <row r="11">
          <cell r="A11" t="str">
            <v>Human Resource &amp; Organisational Development Office</v>
          </cell>
          <cell r="G11" t="str">
            <v>BCA</v>
          </cell>
          <cell r="H11" t="str">
            <v>NPO_FND0117</v>
          </cell>
        </row>
        <row r="12">
          <cell r="A12" t="str">
            <v>International Office</v>
          </cell>
          <cell r="G12" t="str">
            <v>Maritime and Port Authority</v>
          </cell>
          <cell r="H12" t="str">
            <v>NPO_FND0119</v>
          </cell>
        </row>
        <row r="13">
          <cell r="A13" t="str">
            <v>Library</v>
          </cell>
          <cell r="G13" t="str">
            <v>National Environment Agency</v>
          </cell>
          <cell r="H13" t="str">
            <v>NPO_FND0121</v>
          </cell>
        </row>
        <row r="14">
          <cell r="A14" t="str">
            <v>Ngee Ann Polytechnic</v>
          </cell>
          <cell r="G14" t="str">
            <v>NRF Translational R&amp;D Grant</v>
          </cell>
          <cell r="H14" t="str">
            <v>NPO_FND0122</v>
          </cell>
        </row>
        <row r="15">
          <cell r="A15" t="str">
            <v>NPO - Officer on Secondment</v>
          </cell>
          <cell r="G15" t="str">
            <v>Infocomm Media Developm Auth</v>
          </cell>
          <cell r="H15" t="str">
            <v>NPO_FND0123</v>
          </cell>
        </row>
        <row r="16">
          <cell r="A16" t="str">
            <v>Office of Internships &amp; Careers</v>
          </cell>
          <cell r="G16" t="str">
            <v>Singapore Maritime  Institue</v>
          </cell>
          <cell r="H16" t="str">
            <v>NPO_FND0129</v>
          </cell>
        </row>
        <row r="17">
          <cell r="A17" t="str">
            <v>Office of Learning Technologies</v>
          </cell>
          <cell r="G17" t="str">
            <v>Research on Cancer</v>
          </cell>
          <cell r="H17" t="str">
            <v>NPO_FND0132</v>
          </cell>
        </row>
        <row r="18">
          <cell r="A18" t="str">
            <v>Office of Service-Learning</v>
          </cell>
          <cell r="G18" t="str">
            <v>Port of Singapore Authority</v>
          </cell>
          <cell r="H18" t="str">
            <v>NPO_FND0133</v>
          </cell>
        </row>
        <row r="19">
          <cell r="A19" t="str">
            <v>Planning and Risk Management Office</v>
          </cell>
          <cell r="G19" t="str">
            <v>PUB - R&amp;D projects (GST)</v>
          </cell>
          <cell r="H19" t="str">
            <v>NPO_FND0134</v>
          </cell>
        </row>
        <row r="20">
          <cell r="A20" t="str">
            <v>School of Business &amp; Accountancy</v>
          </cell>
          <cell r="G20" t="str">
            <v>Nanyang Technological Uni</v>
          </cell>
          <cell r="H20" t="str">
            <v>NPO_FND0135</v>
          </cell>
        </row>
        <row r="21">
          <cell r="A21" t="str">
            <v>School of Design &amp; Environment</v>
          </cell>
          <cell r="G21" t="str">
            <v>PA - NWCDC WeCare Fund</v>
          </cell>
          <cell r="H21" t="str">
            <v>NPO_FND0136</v>
          </cell>
        </row>
        <row r="22">
          <cell r="A22" t="str">
            <v>School of Engineering</v>
          </cell>
        </row>
        <row r="23">
          <cell r="A23" t="str">
            <v>School of Film and Media Studies</v>
          </cell>
        </row>
        <row r="24">
          <cell r="A24" t="str">
            <v>School of Health Sciences</v>
          </cell>
        </row>
        <row r="25">
          <cell r="A25" t="str">
            <v>School of Humanities &amp; Social Sciences</v>
          </cell>
        </row>
        <row r="26">
          <cell r="A26" t="str">
            <v>School of InfoComm Technology</v>
          </cell>
        </row>
        <row r="27">
          <cell r="A27" t="str">
            <v>School of Interdisciplinary Studies</v>
          </cell>
        </row>
        <row r="28">
          <cell r="A28" t="str">
            <v>School of Life Science &amp; Chemical Technology</v>
          </cell>
        </row>
        <row r="29">
          <cell r="A29" t="str">
            <v>Student &amp; Alumni Services Office</v>
          </cell>
        </row>
        <row r="30">
          <cell r="A30" t="str">
            <v>Student Development Office</v>
          </cell>
        </row>
        <row r="31">
          <cell r="A31" t="str">
            <v>Technology Development &amp; Innovation Office</v>
          </cell>
        </row>
        <row r="32">
          <cell r="A32" t="str">
            <v>The Sandbox</v>
          </cell>
        </row>
      </sheetData>
      <sheetData sheetId="4" refreshError="1"/>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17A6C6-4B82-49F8-BE07-818FB80B8BEE}">
  <sheetPr>
    <pageSetUpPr fitToPage="1"/>
  </sheetPr>
  <dimension ref="A1:L48"/>
  <sheetViews>
    <sheetView tabSelected="1" zoomScaleNormal="100" workbookViewId="0">
      <selection activeCell="E7" sqref="E7"/>
    </sheetView>
  </sheetViews>
  <sheetFormatPr defaultColWidth="9.26953125" defaultRowHeight="14.5" x14ac:dyDescent="0.35"/>
  <cols>
    <col min="1" max="1" width="30.7265625" style="2" customWidth="1"/>
    <col min="2" max="2" width="26" style="2" customWidth="1"/>
    <col min="3" max="3" width="24.7265625" style="2" customWidth="1"/>
    <col min="4" max="4" width="30.7265625" style="2" customWidth="1"/>
    <col min="5" max="5" width="23.1796875" style="2" customWidth="1"/>
    <col min="6" max="6" width="18.453125" style="2" hidden="1" customWidth="1"/>
    <col min="7" max="7" width="6.453125" style="2" hidden="1" customWidth="1"/>
    <col min="8" max="8" width="7.54296875" style="2" hidden="1" customWidth="1"/>
    <col min="9" max="9" width="9.26953125" style="2" hidden="1" customWidth="1"/>
    <col min="10" max="10" width="2" style="2" hidden="1" customWidth="1"/>
    <col min="11" max="11" width="7.7265625" style="2" customWidth="1"/>
    <col min="12" max="12" width="14.453125" style="2" customWidth="1"/>
    <col min="13" max="16384" width="9.26953125" style="2"/>
  </cols>
  <sheetData>
    <row r="1" spans="1:6" ht="18.5" x14ac:dyDescent="0.45">
      <c r="A1" s="1" t="s">
        <v>59</v>
      </c>
    </row>
    <row r="2" spans="1:6" ht="18.5" x14ac:dyDescent="0.45">
      <c r="A2" s="1"/>
    </row>
    <row r="3" spans="1:6" ht="15.5" x14ac:dyDescent="0.35">
      <c r="A3" s="4" t="s">
        <v>34</v>
      </c>
    </row>
    <row r="4" spans="1:6" ht="7.5" customHeight="1" x14ac:dyDescent="0.35">
      <c r="A4" s="4"/>
    </row>
    <row r="5" spans="1:6" x14ac:dyDescent="0.35">
      <c r="A5" s="5" t="s">
        <v>0</v>
      </c>
      <c r="B5" s="47" t="s">
        <v>60</v>
      </c>
      <c r="C5" s="47"/>
      <c r="D5" s="47"/>
    </row>
    <row r="6" spans="1:6" x14ac:dyDescent="0.35">
      <c r="A6" s="5" t="s">
        <v>2</v>
      </c>
      <c r="B6" s="26"/>
      <c r="C6" s="6" t="s">
        <v>33</v>
      </c>
      <c r="E6" s="27"/>
    </row>
    <row r="7" spans="1:6" x14ac:dyDescent="0.35">
      <c r="A7" s="7" t="s">
        <v>4</v>
      </c>
      <c r="B7" s="34">
        <v>12</v>
      </c>
    </row>
    <row r="8" spans="1:6" x14ac:dyDescent="0.35">
      <c r="A8" s="5" t="s">
        <v>3</v>
      </c>
      <c r="B8" s="51" t="s">
        <v>1</v>
      </c>
      <c r="C8" s="52"/>
    </row>
    <row r="11" spans="1:6" ht="15.5" x14ac:dyDescent="0.35">
      <c r="A11" s="4" t="s">
        <v>37</v>
      </c>
      <c r="B11"/>
      <c r="C11"/>
      <c r="D11"/>
      <c r="E11"/>
      <c r="F11"/>
    </row>
    <row r="12" spans="1:6" ht="8.25" customHeight="1" x14ac:dyDescent="0.35">
      <c r="A12" s="37"/>
      <c r="B12"/>
      <c r="C12"/>
      <c r="D12"/>
      <c r="E12"/>
      <c r="F12"/>
    </row>
    <row r="13" spans="1:6" x14ac:dyDescent="0.35">
      <c r="A13" s="36" t="s">
        <v>8</v>
      </c>
      <c r="B13" s="9" t="s">
        <v>56</v>
      </c>
      <c r="C13" s="8" t="s">
        <v>26</v>
      </c>
      <c r="D13" s="8" t="s">
        <v>57</v>
      </c>
      <c r="E13" s="9" t="s">
        <v>58</v>
      </c>
      <c r="F13" s="8" t="s">
        <v>5</v>
      </c>
    </row>
    <row r="14" spans="1:6" ht="21" customHeight="1" x14ac:dyDescent="0.35">
      <c r="A14" s="40" t="s">
        <v>61</v>
      </c>
      <c r="B14" s="40"/>
      <c r="C14" s="35" t="s">
        <v>25</v>
      </c>
      <c r="D14" s="41">
        <v>0</v>
      </c>
      <c r="E14" s="41"/>
      <c r="F14" s="11" t="s">
        <v>62</v>
      </c>
    </row>
    <row r="15" spans="1:6" ht="20.25" customHeight="1" x14ac:dyDescent="0.35">
      <c r="A15" s="10"/>
      <c r="B15" s="5"/>
      <c r="C15" s="35" t="s">
        <v>50</v>
      </c>
      <c r="D15" s="38">
        <v>0</v>
      </c>
      <c r="E15" s="38">
        <v>0</v>
      </c>
      <c r="F15" s="5"/>
    </row>
    <row r="16" spans="1:6" ht="20.25" customHeight="1" x14ac:dyDescent="0.35">
      <c r="A16" s="10"/>
      <c r="B16" s="5"/>
      <c r="C16" s="35" t="s">
        <v>50</v>
      </c>
      <c r="D16" s="38">
        <v>0</v>
      </c>
      <c r="E16" s="38">
        <v>0</v>
      </c>
      <c r="F16" s="5"/>
    </row>
    <row r="17" spans="1:12" ht="20.25" customHeight="1" x14ac:dyDescent="0.35">
      <c r="A17" s="10"/>
      <c r="B17" s="5"/>
      <c r="C17" s="35" t="s">
        <v>50</v>
      </c>
      <c r="D17" s="38">
        <v>0</v>
      </c>
      <c r="E17" s="38">
        <v>0</v>
      </c>
      <c r="F17" s="5"/>
    </row>
    <row r="21" spans="1:12" x14ac:dyDescent="0.35">
      <c r="A21" s="29" t="s">
        <v>49</v>
      </c>
    </row>
    <row r="23" spans="1:12" ht="15.5" x14ac:dyDescent="0.35">
      <c r="A23" s="4" t="s">
        <v>28</v>
      </c>
    </row>
    <row r="24" spans="1:12" ht="8.25" customHeight="1" x14ac:dyDescent="0.35">
      <c r="A24" s="4"/>
    </row>
    <row r="25" spans="1:12" ht="15.5" x14ac:dyDescent="0.35">
      <c r="A25" s="44"/>
      <c r="B25" s="44"/>
      <c r="C25" s="44"/>
      <c r="D25" s="44"/>
      <c r="E25" s="44"/>
      <c r="F25" s="44"/>
      <c r="G25" s="44"/>
      <c r="H25" s="44"/>
      <c r="I25" s="44"/>
      <c r="J25" s="44"/>
      <c r="K25" s="12"/>
    </row>
    <row r="26" spans="1:12" ht="320.25" customHeight="1" x14ac:dyDescent="0.35">
      <c r="A26" s="48" t="s">
        <v>69</v>
      </c>
      <c r="B26" s="49"/>
      <c r="C26" s="49"/>
      <c r="D26" s="49"/>
      <c r="E26" s="49"/>
      <c r="F26" s="49"/>
      <c r="G26" s="49"/>
      <c r="H26" s="49"/>
      <c r="I26" s="49"/>
      <c r="J26" s="49"/>
      <c r="K26" s="13">
        <f>LEN(TRIM(A26))-LEN(SUBSTITUTE(A26," ",""))+1</f>
        <v>176</v>
      </c>
      <c r="L26" s="14" t="s">
        <v>29</v>
      </c>
    </row>
    <row r="27" spans="1:12" x14ac:dyDescent="0.35">
      <c r="A27" s="15"/>
      <c r="B27" s="13"/>
      <c r="C27" s="13"/>
      <c r="D27" s="13"/>
      <c r="E27" s="13"/>
      <c r="F27" s="13"/>
      <c r="G27" s="13"/>
      <c r="H27" s="13"/>
      <c r="I27" s="13"/>
      <c r="J27" s="13"/>
      <c r="K27" s="13"/>
      <c r="L27" s="14"/>
    </row>
    <row r="28" spans="1:12" ht="15.5" x14ac:dyDescent="0.35">
      <c r="A28" s="4" t="s">
        <v>7</v>
      </c>
      <c r="B28" s="13"/>
      <c r="C28" s="13"/>
      <c r="D28" s="13"/>
      <c r="E28" s="13"/>
      <c r="F28" s="13"/>
      <c r="G28" s="13"/>
      <c r="H28" s="13"/>
      <c r="I28" s="13"/>
      <c r="J28" s="13"/>
      <c r="K28" s="13"/>
      <c r="L28" s="14"/>
    </row>
    <row r="29" spans="1:12" ht="30" customHeight="1" x14ac:dyDescent="0.35">
      <c r="A29" s="45" t="s">
        <v>45</v>
      </c>
      <c r="B29" s="45"/>
      <c r="C29" s="45"/>
      <c r="D29" s="45"/>
      <c r="E29" s="45"/>
      <c r="F29" s="45"/>
      <c r="G29" s="45"/>
      <c r="H29" s="45"/>
      <c r="I29" s="45"/>
      <c r="J29" s="45"/>
      <c r="K29" s="13"/>
      <c r="L29" s="14"/>
    </row>
    <row r="30" spans="1:12" ht="81" customHeight="1" x14ac:dyDescent="0.35">
      <c r="A30" s="46" t="s">
        <v>66</v>
      </c>
      <c r="B30" s="46"/>
      <c r="C30" s="46"/>
      <c r="D30" s="46"/>
      <c r="E30" s="46"/>
      <c r="F30" s="46"/>
      <c r="G30" s="46"/>
      <c r="H30" s="46"/>
      <c r="I30" s="46"/>
      <c r="J30" s="46"/>
      <c r="K30" s="13">
        <f t="shared" ref="K30" si="0">LEN(TRIM(A30))-LEN(SUBSTITUTE(A30," ",""))+1</f>
        <v>1</v>
      </c>
      <c r="L30" s="14" t="s">
        <v>29</v>
      </c>
    </row>
    <row r="31" spans="1:12" ht="15" customHeight="1" x14ac:dyDescent="0.35">
      <c r="A31" s="15"/>
      <c r="B31" s="15"/>
      <c r="C31" s="15"/>
      <c r="D31" s="15"/>
      <c r="E31" s="15"/>
      <c r="F31" s="15"/>
      <c r="G31" s="15"/>
      <c r="H31" s="15"/>
      <c r="I31" s="15"/>
      <c r="J31" s="15"/>
      <c r="K31" s="13"/>
      <c r="L31" s="14"/>
    </row>
    <row r="32" spans="1:12" ht="15" customHeight="1" x14ac:dyDescent="0.35">
      <c r="A32" s="4" t="s">
        <v>7</v>
      </c>
      <c r="B32" s="13"/>
      <c r="C32" s="13"/>
      <c r="D32" s="13"/>
      <c r="E32" s="13"/>
      <c r="F32" s="13"/>
      <c r="G32" s="13"/>
      <c r="H32" s="13"/>
      <c r="I32" s="13"/>
      <c r="J32" s="13"/>
      <c r="K32" s="13"/>
      <c r="L32" s="14"/>
    </row>
    <row r="33" spans="1:12" ht="15" customHeight="1" x14ac:dyDescent="0.35">
      <c r="A33" s="45" t="s">
        <v>46</v>
      </c>
      <c r="B33" s="45"/>
      <c r="C33" s="45"/>
      <c r="D33" s="45"/>
      <c r="E33" s="45"/>
      <c r="F33" s="45"/>
      <c r="G33" s="45"/>
      <c r="H33" s="45"/>
      <c r="I33" s="45"/>
      <c r="J33" s="45"/>
      <c r="K33" s="13"/>
      <c r="L33" s="14"/>
    </row>
    <row r="34" spans="1:12" ht="57" customHeight="1" x14ac:dyDescent="0.35">
      <c r="A34" s="46" t="s">
        <v>55</v>
      </c>
      <c r="B34" s="46"/>
      <c r="C34" s="46"/>
      <c r="D34" s="46"/>
      <c r="E34" s="46"/>
      <c r="F34" s="46"/>
      <c r="G34" s="46"/>
      <c r="H34" s="46"/>
      <c r="I34" s="46"/>
      <c r="J34" s="46"/>
      <c r="K34" s="13">
        <f t="shared" ref="K34" si="1">LEN(TRIM(A34))-LEN(SUBSTITUTE(A34," ",""))+1</f>
        <v>1</v>
      </c>
      <c r="L34" s="14" t="s">
        <v>29</v>
      </c>
    </row>
    <row r="35" spans="1:12" x14ac:dyDescent="0.35">
      <c r="A35" s="15"/>
      <c r="B35" s="13"/>
      <c r="C35" s="13"/>
      <c r="D35" s="13"/>
      <c r="E35" s="13"/>
      <c r="F35" s="13"/>
      <c r="G35" s="13"/>
      <c r="H35" s="13"/>
      <c r="I35" s="13"/>
      <c r="J35" s="13"/>
      <c r="K35" s="16"/>
      <c r="L35" s="14"/>
    </row>
    <row r="36" spans="1:12" ht="15.5" x14ac:dyDescent="0.35">
      <c r="A36" s="4" t="s">
        <v>35</v>
      </c>
      <c r="K36" s="16"/>
    </row>
    <row r="37" spans="1:12" ht="8.25" customHeight="1" x14ac:dyDescent="0.35">
      <c r="A37" s="4"/>
      <c r="K37" s="16"/>
    </row>
    <row r="38" spans="1:12" ht="15.5" x14ac:dyDescent="0.35">
      <c r="A38" s="44"/>
      <c r="B38" s="44"/>
      <c r="C38" s="44"/>
      <c r="D38" s="44"/>
      <c r="E38" s="44"/>
      <c r="F38" s="44"/>
      <c r="G38" s="44"/>
      <c r="H38" s="44"/>
      <c r="I38" s="44"/>
      <c r="J38" s="44"/>
      <c r="K38" s="16"/>
    </row>
    <row r="39" spans="1:12" ht="271.5" customHeight="1" x14ac:dyDescent="0.35">
      <c r="A39" s="50" t="s">
        <v>70</v>
      </c>
      <c r="B39" s="50"/>
      <c r="C39" s="50"/>
      <c r="D39" s="50"/>
      <c r="E39" s="50"/>
      <c r="F39" s="50"/>
      <c r="G39" s="50"/>
      <c r="H39" s="50"/>
      <c r="I39" s="50"/>
      <c r="J39" s="50"/>
      <c r="K39" s="13">
        <f>LEN(TRIM(A39))-LEN(SUBSTITUTE(A39," ",""))+1</f>
        <v>197</v>
      </c>
      <c r="L39" s="14" t="s">
        <v>29</v>
      </c>
    </row>
    <row r="40" spans="1:12" ht="15.5" x14ac:dyDescent="0.35">
      <c r="A40" s="43" t="s">
        <v>30</v>
      </c>
      <c r="B40" s="43"/>
      <c r="C40" s="43"/>
      <c r="D40" s="43"/>
      <c r="E40" s="43"/>
      <c r="F40" s="43"/>
      <c r="G40" s="43"/>
      <c r="H40" s="43"/>
      <c r="I40" s="43"/>
      <c r="J40" s="43"/>
      <c r="K40" s="13"/>
      <c r="L40" s="14"/>
    </row>
    <row r="41" spans="1:12" ht="70.5" customHeight="1" x14ac:dyDescent="0.35">
      <c r="A41" s="44"/>
      <c r="B41" s="44"/>
      <c r="C41" s="44"/>
      <c r="D41" s="44"/>
      <c r="E41" s="44"/>
      <c r="F41" s="44"/>
      <c r="G41" s="44"/>
      <c r="H41" s="44"/>
      <c r="I41" s="44"/>
      <c r="J41" s="44"/>
      <c r="K41" s="13">
        <f t="shared" ref="K41" si="2">LEN(TRIM(A41))-LEN(SUBSTITUTE(A41," ",""))+1</f>
        <v>1</v>
      </c>
      <c r="L41" s="14" t="s">
        <v>29</v>
      </c>
    </row>
    <row r="42" spans="1:12" ht="15.5" x14ac:dyDescent="0.35">
      <c r="A42" s="17"/>
      <c r="B42" s="17"/>
      <c r="C42" s="17"/>
      <c r="D42" s="17"/>
      <c r="E42" s="17"/>
      <c r="F42" s="17"/>
      <c r="G42" s="17"/>
      <c r="H42" s="17"/>
      <c r="I42" s="17"/>
      <c r="J42" s="17"/>
      <c r="K42" s="13"/>
      <c r="L42" s="14"/>
    </row>
    <row r="43" spans="1:12" ht="15.5" x14ac:dyDescent="0.35">
      <c r="A43" s="4" t="s">
        <v>36</v>
      </c>
      <c r="K43" s="13"/>
      <c r="L43" s="14"/>
    </row>
    <row r="44" spans="1:12" ht="6" customHeight="1" x14ac:dyDescent="0.35">
      <c r="A44" s="4"/>
      <c r="K44" s="13"/>
      <c r="L44" s="14"/>
    </row>
    <row r="45" spans="1:12" s="14" customFormat="1" ht="121.5" customHeight="1" x14ac:dyDescent="0.35">
      <c r="A45" s="53" t="s">
        <v>68</v>
      </c>
      <c r="B45" s="54"/>
      <c r="C45" s="54"/>
      <c r="D45" s="54"/>
      <c r="E45" s="54"/>
      <c r="F45" s="54"/>
      <c r="G45" s="54"/>
      <c r="H45" s="54"/>
      <c r="I45" s="54"/>
      <c r="J45" s="54"/>
      <c r="K45" s="13">
        <f t="shared" ref="K45" si="3">LEN(TRIM(A45))-LEN(SUBSTITUTE(A45," ",""))+1</f>
        <v>66</v>
      </c>
      <c r="L45" s="14" t="s">
        <v>29</v>
      </c>
    </row>
    <row r="48" spans="1:12" x14ac:dyDescent="0.35">
      <c r="A48" s="30" t="s">
        <v>22</v>
      </c>
    </row>
  </sheetData>
  <mergeCells count="13">
    <mergeCell ref="A45:J45"/>
    <mergeCell ref="B5:D5"/>
    <mergeCell ref="A26:J26"/>
    <mergeCell ref="A39:J39"/>
    <mergeCell ref="B8:C8"/>
    <mergeCell ref="A25:J25"/>
    <mergeCell ref="A33:J33"/>
    <mergeCell ref="A34:J34"/>
    <mergeCell ref="A40:J40"/>
    <mergeCell ref="A41:J41"/>
    <mergeCell ref="A29:J29"/>
    <mergeCell ref="A30:J30"/>
    <mergeCell ref="A38:J38"/>
  </mergeCells>
  <dataValidations count="1">
    <dataValidation type="list" allowBlank="1" showInputMessage="1" showErrorMessage="1" sqref="B8:C8 B19 C14:C17 B7 C10:C12" xr:uid="{81FC3379-AA49-41DE-9549-3A91E557FD3C}">
      <formula1>#REF!</formula1>
    </dataValidation>
  </dataValidations>
  <pageMargins left="0.7" right="0.7" top="0.75" bottom="0.75" header="0.3" footer="0.3"/>
  <pageSetup paperSize="9" scale="70" fitToHeight="0" orientation="landscape" horizontalDpi="1200" verticalDpi="1200" r:id="rId1"/>
  <headerFooter>
    <oddHeader>&amp;L&amp;"Calibri"&amp;11&amp;K000000                    Official (Closed) - Non Sensitive&amp;1#</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330059-5782-46C3-BF8B-32B6E978D62A}">
  <sheetPr>
    <pageSetUpPr fitToPage="1"/>
  </sheetPr>
  <dimension ref="A1:T48"/>
  <sheetViews>
    <sheetView topLeftCell="A7" zoomScaleNormal="100" workbookViewId="0">
      <selection activeCell="L18" sqref="L18"/>
    </sheetView>
  </sheetViews>
  <sheetFormatPr defaultColWidth="9.26953125" defaultRowHeight="14.5" x14ac:dyDescent="0.35"/>
  <cols>
    <col min="1" max="1" width="30.7265625" style="2" customWidth="1"/>
    <col min="2" max="2" width="15.7265625" style="2" customWidth="1"/>
    <col min="3" max="4" width="8.26953125" style="2" customWidth="1"/>
    <col min="5" max="5" width="9" style="2" customWidth="1"/>
    <col min="6" max="12" width="8.26953125" style="2" customWidth="1"/>
    <col min="13" max="21" width="15.7265625" style="2" customWidth="1"/>
    <col min="22" max="22" width="30.7265625" style="2" customWidth="1"/>
    <col min="23" max="23" width="9.26953125" style="2"/>
    <col min="24" max="24" width="55.54296875" style="2" customWidth="1"/>
    <col min="25" max="25" width="54" style="2" customWidth="1"/>
    <col min="26" max="16384" width="9.26953125" style="2"/>
  </cols>
  <sheetData>
    <row r="1" spans="1:20" ht="18.5" x14ac:dyDescent="0.45">
      <c r="A1" s="1" t="s">
        <v>27</v>
      </c>
    </row>
    <row r="3" spans="1:20" ht="18.5" x14ac:dyDescent="0.45">
      <c r="A3" s="3" t="s">
        <v>31</v>
      </c>
    </row>
    <row r="5" spans="1:20" x14ac:dyDescent="0.35">
      <c r="C5" s="58"/>
      <c r="D5" s="58"/>
      <c r="E5" s="58"/>
      <c r="F5" s="58"/>
      <c r="G5" s="58"/>
      <c r="H5" s="58"/>
      <c r="I5" s="58"/>
      <c r="J5" s="58"/>
      <c r="K5" s="58"/>
      <c r="L5" s="58"/>
      <c r="M5" s="58"/>
      <c r="N5" s="58"/>
      <c r="O5" s="58"/>
      <c r="P5" s="58"/>
      <c r="Q5" s="58"/>
    </row>
    <row r="6" spans="1:20" ht="18.5" x14ac:dyDescent="0.45">
      <c r="A6" s="4" t="s">
        <v>37</v>
      </c>
      <c r="B6" s="1"/>
      <c r="C6" s="1"/>
      <c r="D6" s="1"/>
      <c r="E6" s="1"/>
      <c r="F6" s="1"/>
      <c r="G6" s="1"/>
      <c r="H6" s="1"/>
      <c r="I6" s="1"/>
      <c r="J6" s="1"/>
      <c r="K6" s="1"/>
      <c r="L6" s="1"/>
      <c r="M6" s="1"/>
      <c r="N6" s="1"/>
      <c r="O6" s="1"/>
      <c r="P6" s="1"/>
      <c r="Q6" s="1"/>
    </row>
    <row r="7" spans="1:20" ht="32.25" customHeight="1" x14ac:dyDescent="0.45">
      <c r="A7" s="59" t="s">
        <v>32</v>
      </c>
      <c r="B7" s="60"/>
      <c r="C7" s="60"/>
      <c r="D7" s="60"/>
      <c r="E7" s="60"/>
      <c r="F7" s="60"/>
      <c r="G7" s="60"/>
      <c r="H7" s="60"/>
      <c r="I7" s="60"/>
      <c r="J7" s="60"/>
      <c r="K7" s="60"/>
      <c r="L7" s="60"/>
      <c r="M7" s="60"/>
      <c r="N7" s="60"/>
      <c r="O7" s="60"/>
      <c r="P7" s="60"/>
      <c r="Q7" s="1"/>
    </row>
    <row r="8" spans="1:20" ht="47.25" customHeight="1" x14ac:dyDescent="0.35">
      <c r="A8" s="19" t="s">
        <v>48</v>
      </c>
      <c r="B8" s="19" t="s">
        <v>47</v>
      </c>
      <c r="C8" s="68" t="s">
        <v>10</v>
      </c>
      <c r="D8" s="68"/>
      <c r="E8" s="68" t="s">
        <v>6</v>
      </c>
      <c r="F8" s="68"/>
      <c r="G8" s="68"/>
      <c r="H8" s="68" t="s">
        <v>9</v>
      </c>
      <c r="I8" s="68"/>
      <c r="J8" s="68"/>
      <c r="K8" s="68" t="s">
        <v>11</v>
      </c>
      <c r="L8" s="68"/>
      <c r="M8" s="68"/>
      <c r="N8" s="67" t="s">
        <v>12</v>
      </c>
      <c r="O8" s="67"/>
      <c r="P8" s="67"/>
      <c r="Q8" s="18"/>
    </row>
    <row r="9" spans="1:20" x14ac:dyDescent="0.35">
      <c r="A9" s="10" t="str">
        <f>Overview!A14</f>
        <v xml:space="preserve">Infineon Technologies </v>
      </c>
      <c r="B9" s="8"/>
      <c r="C9" s="57" t="s">
        <v>23</v>
      </c>
      <c r="D9" s="57"/>
      <c r="E9" s="55" t="s">
        <v>67</v>
      </c>
      <c r="F9" s="55"/>
      <c r="G9" s="55"/>
      <c r="H9" s="55" t="s">
        <v>64</v>
      </c>
      <c r="I9" s="55"/>
      <c r="J9" s="55"/>
      <c r="K9" s="55"/>
      <c r="L9" s="55"/>
      <c r="M9" s="55"/>
      <c r="N9" s="56"/>
      <c r="O9" s="56"/>
      <c r="P9" s="56"/>
      <c r="Q9" s="18"/>
    </row>
    <row r="10" spans="1:20" x14ac:dyDescent="0.35">
      <c r="A10" s="10" t="str">
        <f>Overview!A14</f>
        <v xml:space="preserve">Infineon Technologies </v>
      </c>
      <c r="B10" s="8"/>
      <c r="C10" s="57" t="s">
        <v>24</v>
      </c>
      <c r="D10" s="57"/>
      <c r="E10" s="55" t="s">
        <v>63</v>
      </c>
      <c r="F10" s="55"/>
      <c r="G10" s="55"/>
      <c r="H10" s="55" t="s">
        <v>65</v>
      </c>
      <c r="I10" s="55"/>
      <c r="J10" s="55"/>
      <c r="K10" s="55"/>
      <c r="L10" s="55"/>
      <c r="M10" s="55"/>
      <c r="N10" s="56"/>
      <c r="O10" s="56"/>
      <c r="P10" s="56"/>
      <c r="Q10" s="18"/>
    </row>
    <row r="11" spans="1:20" x14ac:dyDescent="0.35">
      <c r="A11" s="10">
        <f>Overview!A16</f>
        <v>0</v>
      </c>
      <c r="B11" s="8">
        <f>Overview!B16</f>
        <v>0</v>
      </c>
      <c r="C11" s="57" t="s">
        <v>50</v>
      </c>
      <c r="D11" s="57"/>
      <c r="E11" s="69"/>
      <c r="F11" s="69"/>
      <c r="G11" s="69"/>
      <c r="H11" s="69"/>
      <c r="I11" s="69"/>
      <c r="J11" s="69"/>
      <c r="K11" s="69"/>
      <c r="L11" s="69"/>
      <c r="M11" s="69"/>
      <c r="N11" s="70"/>
      <c r="O11" s="70"/>
      <c r="P11" s="70"/>
      <c r="Q11" s="18"/>
    </row>
    <row r="12" spans="1:20" x14ac:dyDescent="0.35">
      <c r="A12" s="20"/>
      <c r="B12" s="20"/>
      <c r="F12" s="20"/>
      <c r="G12" s="20"/>
      <c r="H12" s="20"/>
      <c r="I12" s="20"/>
      <c r="J12" s="20"/>
      <c r="K12" s="20"/>
      <c r="L12" s="20"/>
      <c r="M12" s="21"/>
      <c r="N12" s="21"/>
      <c r="O12" s="21"/>
      <c r="Q12" s="18"/>
    </row>
    <row r="13" spans="1:20" ht="18.5" x14ac:dyDescent="0.45">
      <c r="A13" s="4" t="s">
        <v>38</v>
      </c>
      <c r="B13" s="1"/>
      <c r="C13" s="1"/>
      <c r="D13" s="1"/>
      <c r="E13" s="1"/>
      <c r="F13" s="1"/>
      <c r="G13" s="18"/>
      <c r="H13" s="18"/>
      <c r="I13" s="18"/>
      <c r="J13" s="18"/>
      <c r="K13" s="18"/>
      <c r="L13" s="18"/>
      <c r="M13" s="18"/>
      <c r="N13" s="18"/>
      <c r="O13" s="18"/>
      <c r="P13" s="18"/>
      <c r="Q13" s="18"/>
    </row>
    <row r="14" spans="1:20" ht="15" thickBot="1" x14ac:dyDescent="0.4">
      <c r="G14" s="18"/>
      <c r="H14" s="18"/>
      <c r="I14" s="18"/>
      <c r="J14" s="18"/>
      <c r="K14" s="18"/>
      <c r="L14" s="18"/>
      <c r="M14" s="18"/>
      <c r="N14" s="18"/>
      <c r="O14" s="18"/>
      <c r="P14" s="18"/>
      <c r="Q14" s="18"/>
      <c r="R14" s="18"/>
      <c r="S14" s="18"/>
      <c r="T14" s="18"/>
    </row>
    <row r="15" spans="1:20" x14ac:dyDescent="0.35">
      <c r="A15" s="71" t="s">
        <v>19</v>
      </c>
      <c r="B15" s="72"/>
      <c r="C15" s="75" t="s">
        <v>17</v>
      </c>
      <c r="D15" s="75"/>
      <c r="E15" s="75"/>
      <c r="F15" s="75"/>
      <c r="G15" s="75" t="s">
        <v>18</v>
      </c>
      <c r="H15" s="75"/>
      <c r="I15" s="75"/>
      <c r="J15" s="76"/>
      <c r="K15" s="18"/>
      <c r="L15" s="18"/>
      <c r="M15" s="18"/>
      <c r="N15" s="18"/>
      <c r="O15" s="18"/>
      <c r="P15" s="18"/>
      <c r="Q15" s="18"/>
      <c r="R15" s="18"/>
      <c r="S15" s="18"/>
      <c r="T15" s="18"/>
    </row>
    <row r="16" spans="1:20" ht="18.75" customHeight="1" x14ac:dyDescent="0.35">
      <c r="A16" s="73"/>
      <c r="B16" s="74"/>
      <c r="C16" s="22" t="s">
        <v>13</v>
      </c>
      <c r="D16" s="22" t="s">
        <v>14</v>
      </c>
      <c r="E16" s="22" t="s">
        <v>15</v>
      </c>
      <c r="F16" s="22" t="s">
        <v>16</v>
      </c>
      <c r="G16" s="22" t="s">
        <v>13</v>
      </c>
      <c r="H16" s="22" t="s">
        <v>14</v>
      </c>
      <c r="I16" s="22" t="s">
        <v>15</v>
      </c>
      <c r="J16" s="23" t="s">
        <v>16</v>
      </c>
      <c r="K16" s="18"/>
      <c r="L16" s="18"/>
      <c r="T16" s="18"/>
    </row>
    <row r="17" spans="1:10" ht="30" customHeight="1" x14ac:dyDescent="0.35">
      <c r="A17" s="61" t="s">
        <v>71</v>
      </c>
      <c r="B17" s="62"/>
      <c r="C17" s="28"/>
      <c r="D17" s="5"/>
      <c r="E17" s="5"/>
      <c r="F17" s="5"/>
      <c r="G17" s="5"/>
      <c r="H17" s="5"/>
      <c r="I17" s="5"/>
      <c r="J17" s="24"/>
    </row>
    <row r="18" spans="1:10" ht="30" customHeight="1" x14ac:dyDescent="0.35">
      <c r="A18" s="61" t="s">
        <v>72</v>
      </c>
      <c r="B18" s="62"/>
      <c r="C18" s="28"/>
      <c r="D18" s="28"/>
      <c r="E18" s="42"/>
      <c r="F18" s="5"/>
      <c r="G18" s="5"/>
      <c r="H18" s="5"/>
      <c r="I18" s="5"/>
      <c r="J18" s="24"/>
    </row>
    <row r="19" spans="1:10" ht="30" customHeight="1" x14ac:dyDescent="0.35">
      <c r="A19" s="61" t="s">
        <v>73</v>
      </c>
      <c r="B19" s="62"/>
      <c r="C19" s="5"/>
      <c r="D19" s="28"/>
      <c r="E19" s="28"/>
      <c r="F19" s="42"/>
      <c r="G19" s="5"/>
      <c r="H19" s="5"/>
      <c r="I19" s="5"/>
      <c r="J19" s="24"/>
    </row>
    <row r="20" spans="1:10" ht="30" customHeight="1" x14ac:dyDescent="0.35">
      <c r="A20" s="61" t="s">
        <v>74</v>
      </c>
      <c r="B20" s="62"/>
      <c r="C20" s="5"/>
      <c r="D20" s="5"/>
      <c r="E20" s="28"/>
      <c r="F20" s="28"/>
      <c r="G20" s="5"/>
      <c r="H20" s="5"/>
      <c r="I20" s="5"/>
      <c r="J20" s="24"/>
    </row>
    <row r="21" spans="1:10" ht="30" customHeight="1" x14ac:dyDescent="0.35">
      <c r="A21" s="61"/>
      <c r="B21" s="62"/>
      <c r="C21" s="5"/>
      <c r="D21" s="5"/>
      <c r="E21" s="5"/>
      <c r="F21" s="5"/>
      <c r="G21" s="5"/>
      <c r="H21" s="5"/>
      <c r="I21" s="5"/>
      <c r="J21" s="24"/>
    </row>
    <row r="22" spans="1:10" ht="30" customHeight="1" x14ac:dyDescent="0.35">
      <c r="A22" s="61"/>
      <c r="B22" s="62"/>
      <c r="C22" s="5"/>
      <c r="D22" s="5"/>
      <c r="E22" s="5"/>
      <c r="F22" s="5"/>
      <c r="G22" s="5"/>
      <c r="H22" s="5"/>
      <c r="I22" s="5"/>
      <c r="J22" s="24"/>
    </row>
    <row r="23" spans="1:10" ht="30" customHeight="1" x14ac:dyDescent="0.35">
      <c r="A23" s="61"/>
      <c r="B23" s="62"/>
      <c r="C23" s="5"/>
      <c r="D23" s="5"/>
      <c r="E23" s="5"/>
      <c r="F23" s="5"/>
      <c r="G23" s="5"/>
      <c r="H23" s="5"/>
      <c r="I23" s="5"/>
      <c r="J23" s="24"/>
    </row>
    <row r="24" spans="1:10" ht="30" customHeight="1" thickBot="1" x14ac:dyDescent="0.4">
      <c r="A24" s="81"/>
      <c r="B24" s="82"/>
      <c r="C24" s="25"/>
      <c r="D24" s="25"/>
      <c r="E24" s="25"/>
      <c r="F24" s="25"/>
      <c r="G24" s="25"/>
      <c r="H24" s="25"/>
      <c r="I24" s="25"/>
      <c r="J24" s="39"/>
    </row>
    <row r="25" spans="1:10" ht="30" customHeight="1" thickBot="1" x14ac:dyDescent="0.4">
      <c r="A25" s="18"/>
      <c r="B25" s="18"/>
    </row>
    <row r="26" spans="1:10" x14ac:dyDescent="0.35">
      <c r="A26" s="63" t="s">
        <v>21</v>
      </c>
      <c r="B26" s="64"/>
      <c r="C26" s="75" t="s">
        <v>17</v>
      </c>
      <c r="D26" s="75"/>
      <c r="E26" s="75"/>
      <c r="F26" s="75"/>
      <c r="G26" s="75" t="s">
        <v>18</v>
      </c>
      <c r="H26" s="75"/>
      <c r="I26" s="75"/>
      <c r="J26" s="76"/>
    </row>
    <row r="27" spans="1:10" x14ac:dyDescent="0.35">
      <c r="A27" s="65"/>
      <c r="B27" s="66"/>
      <c r="C27" s="22" t="s">
        <v>13</v>
      </c>
      <c r="D27" s="22" t="s">
        <v>14</v>
      </c>
      <c r="E27" s="22" t="s">
        <v>15</v>
      </c>
      <c r="F27" s="22" t="s">
        <v>16</v>
      </c>
      <c r="G27" s="22" t="s">
        <v>13</v>
      </c>
      <c r="H27" s="22" t="s">
        <v>14</v>
      </c>
      <c r="I27" s="22" t="s">
        <v>15</v>
      </c>
      <c r="J27" s="23" t="s">
        <v>16</v>
      </c>
    </row>
    <row r="28" spans="1:10" ht="30" customHeight="1" x14ac:dyDescent="0.35">
      <c r="A28" s="61" t="s">
        <v>75</v>
      </c>
      <c r="B28" s="62"/>
      <c r="C28" s="28"/>
      <c r="D28" s="5"/>
      <c r="E28" s="5"/>
      <c r="F28" s="5"/>
      <c r="G28" s="5"/>
      <c r="H28" s="5"/>
      <c r="I28" s="5"/>
      <c r="J28" s="24"/>
    </row>
    <row r="29" spans="1:10" ht="30" customHeight="1" x14ac:dyDescent="0.35">
      <c r="A29" s="61" t="s">
        <v>78</v>
      </c>
      <c r="B29" s="62"/>
      <c r="C29" s="28"/>
      <c r="D29" s="28"/>
      <c r="E29" s="42"/>
      <c r="F29" s="5"/>
      <c r="G29" s="5"/>
      <c r="H29" s="5"/>
      <c r="I29" s="5"/>
      <c r="J29" s="24"/>
    </row>
    <row r="30" spans="1:10" ht="30" customHeight="1" x14ac:dyDescent="0.35">
      <c r="A30" s="61" t="s">
        <v>76</v>
      </c>
      <c r="B30" s="62"/>
      <c r="C30" s="5"/>
      <c r="D30" s="28"/>
      <c r="E30" s="28"/>
      <c r="F30" s="42"/>
      <c r="G30" s="5"/>
      <c r="H30" s="5"/>
      <c r="I30" s="5"/>
      <c r="J30" s="24"/>
    </row>
    <row r="31" spans="1:10" ht="30" customHeight="1" x14ac:dyDescent="0.35">
      <c r="A31" s="61" t="s">
        <v>74</v>
      </c>
      <c r="B31" s="62"/>
      <c r="C31" s="5"/>
      <c r="D31" s="5"/>
      <c r="E31" s="28"/>
      <c r="F31" s="28"/>
      <c r="G31" s="5"/>
      <c r="H31" s="5"/>
      <c r="I31" s="5"/>
      <c r="J31" s="24"/>
    </row>
    <row r="32" spans="1:10" ht="30" customHeight="1" x14ac:dyDescent="0.35">
      <c r="A32" s="77"/>
      <c r="B32" s="78"/>
      <c r="C32" s="5"/>
      <c r="D32" s="5"/>
      <c r="E32" s="5"/>
      <c r="F32" s="5"/>
      <c r="G32" s="5"/>
      <c r="H32" s="5"/>
      <c r="I32" s="5"/>
      <c r="J32" s="24"/>
    </row>
    <row r="33" spans="1:10" ht="30" customHeight="1" x14ac:dyDescent="0.35">
      <c r="A33" s="77"/>
      <c r="B33" s="78"/>
      <c r="C33" s="5"/>
      <c r="D33" s="5"/>
      <c r="E33" s="5"/>
      <c r="F33" s="5"/>
      <c r="G33" s="5"/>
      <c r="H33" s="5"/>
      <c r="I33" s="5"/>
      <c r="J33" s="24"/>
    </row>
    <row r="34" spans="1:10" ht="30" customHeight="1" x14ac:dyDescent="0.35">
      <c r="A34" s="77"/>
      <c r="B34" s="78"/>
      <c r="C34" s="5"/>
      <c r="D34" s="5"/>
      <c r="E34" s="5"/>
      <c r="F34" s="5"/>
      <c r="G34" s="5"/>
      <c r="H34" s="5"/>
      <c r="I34" s="5"/>
      <c r="J34" s="24"/>
    </row>
    <row r="35" spans="1:10" ht="30" customHeight="1" thickBot="1" x14ac:dyDescent="0.4">
      <c r="A35" s="79"/>
      <c r="B35" s="80"/>
      <c r="C35" s="25"/>
      <c r="D35" s="25"/>
      <c r="E35" s="25"/>
      <c r="F35" s="25"/>
      <c r="G35" s="25"/>
      <c r="H35" s="25"/>
      <c r="I35" s="25"/>
      <c r="J35" s="39"/>
    </row>
    <row r="36" spans="1:10" ht="30" customHeight="1" thickBot="1" x14ac:dyDescent="0.4">
      <c r="A36" s="18"/>
      <c r="B36" s="18"/>
    </row>
    <row r="37" spans="1:10" x14ac:dyDescent="0.35">
      <c r="A37" s="71" t="s">
        <v>20</v>
      </c>
      <c r="B37" s="72"/>
      <c r="C37" s="75" t="s">
        <v>17</v>
      </c>
      <c r="D37" s="75"/>
      <c r="E37" s="75"/>
      <c r="F37" s="75"/>
      <c r="G37" s="75" t="s">
        <v>18</v>
      </c>
      <c r="H37" s="75"/>
      <c r="I37" s="75"/>
      <c r="J37" s="76"/>
    </row>
    <row r="38" spans="1:10" x14ac:dyDescent="0.35">
      <c r="A38" s="73"/>
      <c r="B38" s="74"/>
      <c r="C38" s="22" t="s">
        <v>13</v>
      </c>
      <c r="D38" s="22" t="s">
        <v>14</v>
      </c>
      <c r="E38" s="22" t="s">
        <v>15</v>
      </c>
      <c r="F38" s="22" t="s">
        <v>16</v>
      </c>
      <c r="G38" s="22" t="s">
        <v>13</v>
      </c>
      <c r="H38" s="22" t="s">
        <v>14</v>
      </c>
      <c r="I38" s="22" t="s">
        <v>15</v>
      </c>
      <c r="J38" s="23" t="s">
        <v>16</v>
      </c>
    </row>
    <row r="39" spans="1:10" ht="30" customHeight="1" x14ac:dyDescent="0.35">
      <c r="A39" s="61" t="s">
        <v>77</v>
      </c>
      <c r="B39" s="62"/>
      <c r="C39" s="28"/>
      <c r="D39" s="5"/>
      <c r="E39" s="5"/>
      <c r="F39" s="5"/>
      <c r="G39" s="5"/>
      <c r="H39" s="5"/>
      <c r="I39" s="5"/>
      <c r="J39" s="24"/>
    </row>
    <row r="40" spans="1:10" ht="30" customHeight="1" x14ac:dyDescent="0.35">
      <c r="A40" s="61" t="s">
        <v>78</v>
      </c>
      <c r="B40" s="62"/>
      <c r="C40" s="28"/>
      <c r="D40" s="28"/>
      <c r="E40" s="42"/>
      <c r="F40" s="5"/>
      <c r="G40" s="5"/>
      <c r="H40" s="5"/>
      <c r="I40" s="5"/>
      <c r="J40" s="24"/>
    </row>
    <row r="41" spans="1:10" ht="30" customHeight="1" x14ac:dyDescent="0.35">
      <c r="A41" s="61" t="s">
        <v>76</v>
      </c>
      <c r="B41" s="62"/>
      <c r="C41" s="5"/>
      <c r="D41" s="28"/>
      <c r="E41" s="28"/>
      <c r="F41" s="42"/>
      <c r="G41" s="5"/>
      <c r="H41" s="5"/>
      <c r="I41" s="5"/>
      <c r="J41" s="24"/>
    </row>
    <row r="42" spans="1:10" ht="30" customHeight="1" x14ac:dyDescent="0.35">
      <c r="A42" s="61" t="s">
        <v>79</v>
      </c>
      <c r="B42" s="62"/>
      <c r="C42" s="5"/>
      <c r="D42" s="5"/>
      <c r="E42" s="28"/>
      <c r="F42" s="28"/>
      <c r="G42" s="5"/>
      <c r="H42" s="5"/>
      <c r="I42" s="5"/>
      <c r="J42" s="24"/>
    </row>
    <row r="43" spans="1:10" ht="30" customHeight="1" x14ac:dyDescent="0.35">
      <c r="A43" s="77"/>
      <c r="B43" s="78"/>
      <c r="C43" s="5"/>
      <c r="D43" s="5"/>
      <c r="E43" s="5"/>
      <c r="F43" s="5"/>
      <c r="G43" s="5"/>
      <c r="H43" s="5"/>
      <c r="I43" s="5"/>
      <c r="J43" s="24"/>
    </row>
    <row r="44" spans="1:10" ht="30" customHeight="1" x14ac:dyDescent="0.35">
      <c r="A44" s="77"/>
      <c r="B44" s="78"/>
      <c r="C44" s="5"/>
      <c r="D44" s="5"/>
      <c r="E44" s="5"/>
      <c r="F44" s="5"/>
      <c r="G44" s="5"/>
      <c r="H44" s="5"/>
      <c r="I44" s="5"/>
      <c r="J44" s="24"/>
    </row>
    <row r="45" spans="1:10" ht="30" customHeight="1" x14ac:dyDescent="0.35">
      <c r="A45" s="77"/>
      <c r="B45" s="78"/>
      <c r="C45" s="5"/>
      <c r="D45" s="5"/>
      <c r="E45" s="5"/>
      <c r="F45" s="5"/>
      <c r="G45" s="5"/>
      <c r="H45" s="5"/>
      <c r="I45" s="5"/>
      <c r="J45" s="24"/>
    </row>
    <row r="46" spans="1:10" ht="30" customHeight="1" thickBot="1" x14ac:dyDescent="0.4">
      <c r="A46" s="79"/>
      <c r="B46" s="80"/>
      <c r="C46" s="25"/>
      <c r="D46" s="25"/>
      <c r="E46" s="25"/>
      <c r="F46" s="25"/>
      <c r="G46" s="25"/>
      <c r="H46" s="25"/>
      <c r="I46" s="25"/>
      <c r="J46" s="39"/>
    </row>
    <row r="47" spans="1:10" ht="30" customHeight="1" x14ac:dyDescent="0.35">
      <c r="A47" s="18"/>
      <c r="B47" s="18"/>
    </row>
    <row r="48" spans="1:10" x14ac:dyDescent="0.35">
      <c r="A48" s="18" t="s">
        <v>22</v>
      </c>
      <c r="B48" s="18"/>
    </row>
  </sheetData>
  <mergeCells count="59">
    <mergeCell ref="C26:F26"/>
    <mergeCell ref="G26:J26"/>
    <mergeCell ref="A28:B28"/>
    <mergeCell ref="A32:B32"/>
    <mergeCell ref="A33:B33"/>
    <mergeCell ref="A34:B34"/>
    <mergeCell ref="A35:B35"/>
    <mergeCell ref="A20:B20"/>
    <mergeCell ref="A21:B21"/>
    <mergeCell ref="A22:B22"/>
    <mergeCell ref="A23:B23"/>
    <mergeCell ref="A24:B24"/>
    <mergeCell ref="A44:B44"/>
    <mergeCell ref="A45:B45"/>
    <mergeCell ref="A46:B46"/>
    <mergeCell ref="G37:J37"/>
    <mergeCell ref="A39:B39"/>
    <mergeCell ref="A40:B40"/>
    <mergeCell ref="A41:B41"/>
    <mergeCell ref="A42:B42"/>
    <mergeCell ref="A43:B43"/>
    <mergeCell ref="C37:F37"/>
    <mergeCell ref="A37:B38"/>
    <mergeCell ref="N11:P11"/>
    <mergeCell ref="A15:B16"/>
    <mergeCell ref="C15:F15"/>
    <mergeCell ref="G15:J15"/>
    <mergeCell ref="A17:B17"/>
    <mergeCell ref="A7:P7"/>
    <mergeCell ref="A29:B29"/>
    <mergeCell ref="A30:B30"/>
    <mergeCell ref="A31:B31"/>
    <mergeCell ref="A26:B27"/>
    <mergeCell ref="N8:P8"/>
    <mergeCell ref="K8:M8"/>
    <mergeCell ref="H8:J8"/>
    <mergeCell ref="E8:G8"/>
    <mergeCell ref="C8:D8"/>
    <mergeCell ref="A19:B19"/>
    <mergeCell ref="C11:D11"/>
    <mergeCell ref="E11:G11"/>
    <mergeCell ref="H11:J11"/>
    <mergeCell ref="K11:M11"/>
    <mergeCell ref="A18:B18"/>
    <mergeCell ref="C5:E5"/>
    <mergeCell ref="F5:H5"/>
    <mergeCell ref="I5:L5"/>
    <mergeCell ref="M5:O5"/>
    <mergeCell ref="P5:Q5"/>
    <mergeCell ref="H10:J10"/>
    <mergeCell ref="K10:M10"/>
    <mergeCell ref="N10:P10"/>
    <mergeCell ref="C9:D9"/>
    <mergeCell ref="E9:G9"/>
    <mergeCell ref="H9:J9"/>
    <mergeCell ref="K9:M9"/>
    <mergeCell ref="N9:P9"/>
    <mergeCell ref="C10:D10"/>
    <mergeCell ref="E10:G10"/>
  </mergeCells>
  <dataValidations count="1">
    <dataValidation type="list" allowBlank="1" showInputMessage="1" showErrorMessage="1" sqref="C9:D11" xr:uid="{4A7BCBAA-8240-4D73-A585-54D7124FF4E8}">
      <formula1>#REF!</formula1>
    </dataValidation>
  </dataValidations>
  <pageMargins left="0.7" right="0.7" top="0.75" bottom="0.75" header="0.3" footer="0.3"/>
  <pageSetup paperSize="9" scale="36" fitToHeight="0" orientation="landscape" horizontalDpi="1200" verticalDpi="1200" r:id="rId1"/>
  <headerFooter>
    <oddHeader>&amp;L&amp;"Calibri"&amp;11&amp;K000000                    Official (Closed) - Non Sensitive&amp;1#</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3BA851-65FE-4F8A-A9A6-B5F644ADF0D8}">
  <sheetPr>
    <pageSetUpPr fitToPage="1"/>
  </sheetPr>
  <dimension ref="A1:L33"/>
  <sheetViews>
    <sheetView zoomScaleNormal="100" workbookViewId="0">
      <selection activeCell="A12" sqref="A12:J12"/>
    </sheetView>
  </sheetViews>
  <sheetFormatPr defaultColWidth="9.26953125" defaultRowHeight="14.5" x14ac:dyDescent="0.35"/>
  <cols>
    <col min="1" max="1" width="29.54296875" style="2" customWidth="1"/>
    <col min="2" max="2" width="26" style="2" customWidth="1"/>
    <col min="3" max="3" width="24.7265625" style="2" customWidth="1"/>
    <col min="4" max="4" width="30.7265625" style="2" customWidth="1"/>
    <col min="5" max="10" width="9.26953125" style="2"/>
    <col min="11" max="11" width="6" style="31" customWidth="1"/>
    <col min="12" max="12" width="14.453125" style="2" customWidth="1"/>
    <col min="13" max="16384" width="9.26953125" style="2"/>
  </cols>
  <sheetData>
    <row r="1" spans="1:12" ht="18.5" x14ac:dyDescent="0.45">
      <c r="A1" s="1" t="s">
        <v>27</v>
      </c>
    </row>
    <row r="2" spans="1:12" ht="18.5" x14ac:dyDescent="0.45">
      <c r="A2" s="1"/>
    </row>
    <row r="3" spans="1:12" ht="18.5" x14ac:dyDescent="0.45">
      <c r="A3" s="3" t="s">
        <v>39</v>
      </c>
    </row>
    <row r="5" spans="1:12" ht="30" customHeight="1" x14ac:dyDescent="0.35">
      <c r="A5" s="44" t="s">
        <v>51</v>
      </c>
      <c r="B5" s="44"/>
      <c r="C5" s="44"/>
      <c r="D5" s="44"/>
      <c r="E5" s="44"/>
      <c r="F5" s="44"/>
      <c r="G5" s="44"/>
      <c r="H5" s="44"/>
      <c r="I5" s="44"/>
      <c r="J5" s="44"/>
      <c r="K5" s="32"/>
    </row>
    <row r="6" spans="1:12" ht="80.150000000000006" customHeight="1" x14ac:dyDescent="0.35">
      <c r="A6" s="46" t="s">
        <v>83</v>
      </c>
      <c r="B6" s="83"/>
      <c r="C6" s="83"/>
      <c r="D6" s="83"/>
      <c r="E6" s="83"/>
      <c r="F6" s="83"/>
      <c r="G6" s="83"/>
      <c r="H6" s="83"/>
      <c r="I6" s="83"/>
      <c r="J6" s="83"/>
      <c r="K6" s="33">
        <f>LEN(TRIM(A6))-LEN(SUBSTITUTE(A6," ",""))+1</f>
        <v>68</v>
      </c>
      <c r="L6" s="14" t="s">
        <v>29</v>
      </c>
    </row>
    <row r="7" spans="1:12" x14ac:dyDescent="0.35">
      <c r="A7" s="15"/>
      <c r="B7" s="13"/>
      <c r="C7" s="13"/>
      <c r="D7" s="13"/>
      <c r="E7" s="13"/>
      <c r="F7" s="13"/>
      <c r="G7" s="13"/>
      <c r="H7" s="13"/>
      <c r="I7" s="13"/>
      <c r="J7" s="13"/>
      <c r="K7" s="33"/>
      <c r="L7" s="14"/>
    </row>
    <row r="8" spans="1:12" ht="33.75" customHeight="1" x14ac:dyDescent="0.35">
      <c r="A8" s="44" t="s">
        <v>52</v>
      </c>
      <c r="B8" s="44"/>
      <c r="C8" s="44"/>
      <c r="D8" s="44"/>
      <c r="E8" s="44"/>
      <c r="F8" s="44"/>
      <c r="G8" s="44"/>
      <c r="H8" s="44"/>
      <c r="I8" s="44"/>
      <c r="J8" s="44"/>
      <c r="K8" s="32"/>
    </row>
    <row r="9" spans="1:12" ht="80.150000000000006" customHeight="1" x14ac:dyDescent="0.35">
      <c r="A9" s="48"/>
      <c r="B9" s="49"/>
      <c r="C9" s="49"/>
      <c r="D9" s="49"/>
      <c r="E9" s="49"/>
      <c r="F9" s="49"/>
      <c r="G9" s="49"/>
      <c r="H9" s="49"/>
      <c r="I9" s="49"/>
      <c r="J9" s="49"/>
      <c r="K9" s="33">
        <f>LEN(TRIM(A9))-LEN(SUBSTITUTE(A9," ",""))+1</f>
        <v>1</v>
      </c>
      <c r="L9" s="14" t="s">
        <v>29</v>
      </c>
    </row>
    <row r="10" spans="1:12" x14ac:dyDescent="0.35">
      <c r="A10" s="15"/>
      <c r="B10" s="13"/>
      <c r="C10" s="13"/>
      <c r="D10" s="13"/>
      <c r="E10" s="13"/>
      <c r="F10" s="13"/>
      <c r="G10" s="13"/>
      <c r="H10" s="13"/>
      <c r="I10" s="13"/>
      <c r="J10" s="13"/>
      <c r="K10" s="33"/>
      <c r="L10" s="14"/>
    </row>
    <row r="11" spans="1:12" ht="27.75" customHeight="1" x14ac:dyDescent="0.35">
      <c r="A11" s="44" t="s">
        <v>53</v>
      </c>
      <c r="B11" s="44"/>
      <c r="C11" s="44"/>
      <c r="D11" s="44"/>
      <c r="E11" s="44"/>
      <c r="F11" s="44"/>
      <c r="G11" s="44"/>
      <c r="H11" s="44"/>
      <c r="I11" s="44"/>
      <c r="J11" s="44"/>
      <c r="K11" s="32"/>
    </row>
    <row r="12" spans="1:12" ht="80.150000000000006" customHeight="1" x14ac:dyDescent="0.35">
      <c r="A12" s="46" t="s">
        <v>80</v>
      </c>
      <c r="B12" s="83"/>
      <c r="C12" s="83"/>
      <c r="D12" s="83"/>
      <c r="E12" s="83"/>
      <c r="F12" s="83"/>
      <c r="G12" s="83"/>
      <c r="H12" s="83"/>
      <c r="I12" s="83"/>
      <c r="J12" s="83"/>
      <c r="K12" s="33">
        <f>LEN(TRIM(A12))-LEN(SUBSTITUTE(A12," ",""))+1</f>
        <v>15</v>
      </c>
      <c r="L12" s="14" t="s">
        <v>29</v>
      </c>
    </row>
    <row r="13" spans="1:12" x14ac:dyDescent="0.35">
      <c r="A13" s="15"/>
      <c r="B13" s="13"/>
      <c r="C13" s="13"/>
      <c r="D13" s="13"/>
      <c r="E13" s="13"/>
      <c r="F13" s="13"/>
      <c r="G13" s="13"/>
      <c r="H13" s="13"/>
      <c r="I13" s="13"/>
      <c r="J13" s="13"/>
      <c r="K13" s="33"/>
      <c r="L13" s="14"/>
    </row>
    <row r="14" spans="1:12" ht="32.25" customHeight="1" x14ac:dyDescent="0.35">
      <c r="A14" s="85" t="s">
        <v>41</v>
      </c>
      <c r="B14" s="85"/>
      <c r="C14" s="85"/>
      <c r="D14" s="85"/>
      <c r="E14" s="85"/>
      <c r="F14" s="85"/>
      <c r="G14" s="85"/>
      <c r="H14" s="85"/>
      <c r="I14" s="85"/>
      <c r="J14" s="85"/>
      <c r="K14" s="32"/>
    </row>
    <row r="15" spans="1:12" ht="80.150000000000006" customHeight="1" x14ac:dyDescent="0.35">
      <c r="A15" s="46" t="s">
        <v>81</v>
      </c>
      <c r="B15" s="83"/>
      <c r="C15" s="83"/>
      <c r="D15" s="83"/>
      <c r="E15" s="83"/>
      <c r="F15" s="83"/>
      <c r="G15" s="83"/>
      <c r="H15" s="83"/>
      <c r="I15" s="83"/>
      <c r="J15" s="83"/>
      <c r="K15" s="33">
        <f>LEN(TRIM(A15))-LEN(SUBSTITUTE(A15," ",""))+1</f>
        <v>43</v>
      </c>
      <c r="L15" s="14" t="s">
        <v>29</v>
      </c>
    </row>
    <row r="16" spans="1:12" x14ac:dyDescent="0.35">
      <c r="A16" s="15"/>
      <c r="B16" s="13"/>
      <c r="C16" s="13"/>
      <c r="D16" s="13"/>
      <c r="E16" s="13"/>
      <c r="F16" s="13"/>
      <c r="G16" s="13"/>
      <c r="H16" s="13"/>
      <c r="I16" s="13"/>
      <c r="J16" s="13"/>
      <c r="K16" s="33"/>
      <c r="L16" s="14"/>
    </row>
    <row r="17" spans="1:12" ht="32.25" customHeight="1" x14ac:dyDescent="0.35">
      <c r="A17" s="85" t="s">
        <v>54</v>
      </c>
      <c r="B17" s="85"/>
      <c r="C17" s="85"/>
      <c r="D17" s="85"/>
      <c r="E17" s="85"/>
      <c r="F17" s="85"/>
      <c r="G17" s="85"/>
      <c r="H17" s="85"/>
      <c r="I17" s="85"/>
      <c r="J17" s="85"/>
      <c r="K17" s="32"/>
    </row>
    <row r="18" spans="1:12" ht="80.150000000000006" customHeight="1" x14ac:dyDescent="0.35">
      <c r="A18" s="46"/>
      <c r="B18" s="83"/>
      <c r="C18" s="83"/>
      <c r="D18" s="83"/>
      <c r="E18" s="83"/>
      <c r="F18" s="83"/>
      <c r="G18" s="83"/>
      <c r="H18" s="83"/>
      <c r="I18" s="83"/>
      <c r="J18" s="83"/>
      <c r="K18" s="33">
        <f>LEN(TRIM(A18))-LEN(SUBSTITUTE(A18," ",""))+1</f>
        <v>1</v>
      </c>
      <c r="L18" s="14" t="s">
        <v>29</v>
      </c>
    </row>
    <row r="19" spans="1:12" x14ac:dyDescent="0.35">
      <c r="A19" s="15"/>
      <c r="B19" s="13"/>
      <c r="C19" s="13"/>
      <c r="D19" s="13"/>
      <c r="E19" s="13"/>
      <c r="F19" s="13"/>
      <c r="G19" s="13"/>
      <c r="H19" s="13"/>
      <c r="I19" s="13"/>
      <c r="J19" s="13"/>
      <c r="K19" s="33"/>
      <c r="L19" s="14"/>
    </row>
    <row r="20" spans="1:12" ht="27.75" customHeight="1" x14ac:dyDescent="0.35">
      <c r="A20" s="84" t="s">
        <v>42</v>
      </c>
      <c r="B20" s="43"/>
      <c r="C20" s="43"/>
      <c r="D20" s="43"/>
      <c r="E20" s="43"/>
      <c r="F20" s="43"/>
      <c r="G20" s="43"/>
      <c r="H20" s="43"/>
      <c r="I20" s="43"/>
      <c r="J20" s="43"/>
      <c r="K20" s="32"/>
    </row>
    <row r="21" spans="1:12" ht="80.150000000000006" customHeight="1" x14ac:dyDescent="0.35">
      <c r="A21" s="48" t="s">
        <v>82</v>
      </c>
      <c r="B21" s="49"/>
      <c r="C21" s="49"/>
      <c r="D21" s="49"/>
      <c r="E21" s="49"/>
      <c r="F21" s="49"/>
      <c r="G21" s="49"/>
      <c r="H21" s="49"/>
      <c r="I21" s="49"/>
      <c r="J21" s="49"/>
      <c r="K21" s="33">
        <f>LEN(TRIM(A21))-LEN(SUBSTITUTE(A21," ",""))+1</f>
        <v>18</v>
      </c>
      <c r="L21" s="14" t="s">
        <v>29</v>
      </c>
    </row>
    <row r="22" spans="1:12" x14ac:dyDescent="0.35">
      <c r="A22" s="15"/>
      <c r="B22" s="13"/>
      <c r="C22" s="13"/>
      <c r="D22" s="13"/>
      <c r="E22" s="13"/>
      <c r="F22" s="13"/>
      <c r="G22" s="13"/>
      <c r="H22" s="13"/>
      <c r="I22" s="13"/>
      <c r="J22" s="13"/>
      <c r="K22" s="33"/>
      <c r="L22" s="14"/>
    </row>
    <row r="23" spans="1:12" ht="15.75" customHeight="1" x14ac:dyDescent="0.35">
      <c r="A23" s="44" t="s">
        <v>43</v>
      </c>
      <c r="B23" s="44"/>
      <c r="C23" s="44"/>
      <c r="D23" s="44"/>
      <c r="E23" s="44"/>
      <c r="F23" s="44"/>
      <c r="G23" s="44"/>
      <c r="H23" s="44"/>
      <c r="I23" s="44"/>
      <c r="J23" s="44"/>
      <c r="K23" s="32"/>
    </row>
    <row r="24" spans="1:12" ht="80.150000000000006" customHeight="1" x14ac:dyDescent="0.35">
      <c r="A24" s="46"/>
      <c r="B24" s="83"/>
      <c r="C24" s="83"/>
      <c r="D24" s="83"/>
      <c r="E24" s="83"/>
      <c r="F24" s="83"/>
      <c r="G24" s="83"/>
      <c r="H24" s="83"/>
      <c r="I24" s="83"/>
      <c r="J24" s="83"/>
      <c r="K24" s="33">
        <f>LEN(TRIM(A24))-LEN(SUBSTITUTE(A24," ",""))+1</f>
        <v>1</v>
      </c>
      <c r="L24" s="14" t="s">
        <v>29</v>
      </c>
    </row>
    <row r="25" spans="1:12" x14ac:dyDescent="0.35">
      <c r="A25" s="15"/>
      <c r="B25" s="13"/>
      <c r="C25" s="13"/>
      <c r="D25" s="13"/>
      <c r="E25" s="13"/>
      <c r="F25" s="13"/>
      <c r="G25" s="13"/>
      <c r="H25" s="13"/>
      <c r="I25" s="13"/>
      <c r="J25" s="13"/>
      <c r="K25" s="33"/>
      <c r="L25" s="14"/>
    </row>
    <row r="26" spans="1:12" ht="15.5" x14ac:dyDescent="0.35">
      <c r="A26" s="86" t="s">
        <v>40</v>
      </c>
      <c r="B26" s="87"/>
      <c r="C26" s="87"/>
      <c r="D26" s="87"/>
      <c r="E26" s="87"/>
      <c r="F26" s="87"/>
      <c r="G26" s="87"/>
      <c r="H26" s="87"/>
      <c r="I26" s="87"/>
      <c r="J26" s="88"/>
      <c r="K26" s="32"/>
    </row>
    <row r="27" spans="1:12" ht="80.150000000000006" customHeight="1" x14ac:dyDescent="0.35">
      <c r="A27" s="46"/>
      <c r="B27" s="83"/>
      <c r="C27" s="83"/>
      <c r="D27" s="83"/>
      <c r="E27" s="83"/>
      <c r="F27" s="83"/>
      <c r="G27" s="83"/>
      <c r="H27" s="83"/>
      <c r="I27" s="83"/>
      <c r="J27" s="83"/>
      <c r="K27" s="33">
        <f>LEN(TRIM(A27))-LEN(SUBSTITUTE(A27," ",""))+1</f>
        <v>1</v>
      </c>
      <c r="L27" s="14" t="s">
        <v>29</v>
      </c>
    </row>
    <row r="28" spans="1:12" x14ac:dyDescent="0.35">
      <c r="A28" s="15"/>
      <c r="B28" s="13"/>
      <c r="C28" s="13"/>
      <c r="D28" s="13"/>
      <c r="E28" s="13"/>
      <c r="F28" s="13"/>
      <c r="G28" s="13"/>
      <c r="H28" s="13"/>
      <c r="I28" s="13"/>
      <c r="J28" s="13"/>
      <c r="K28" s="33"/>
      <c r="L28" s="14"/>
    </row>
    <row r="29" spans="1:12" ht="15.5" x14ac:dyDescent="0.35">
      <c r="A29" s="44" t="s">
        <v>44</v>
      </c>
      <c r="B29" s="44"/>
      <c r="C29" s="44"/>
      <c r="D29" s="44"/>
      <c r="E29" s="44"/>
      <c r="F29" s="44"/>
      <c r="G29" s="44"/>
      <c r="H29" s="44"/>
      <c r="I29" s="44"/>
      <c r="J29" s="44"/>
      <c r="K29" s="32"/>
    </row>
    <row r="30" spans="1:12" ht="80.150000000000006" customHeight="1" x14ac:dyDescent="0.35">
      <c r="A30" s="46"/>
      <c r="B30" s="83"/>
      <c r="C30" s="83"/>
      <c r="D30" s="83"/>
      <c r="E30" s="83"/>
      <c r="F30" s="83"/>
      <c r="G30" s="83"/>
      <c r="H30" s="83"/>
      <c r="I30" s="83"/>
      <c r="J30" s="83"/>
      <c r="K30" s="33">
        <f>LEN(TRIM(A30))-LEN(SUBSTITUTE(A30," ",""))+1</f>
        <v>1</v>
      </c>
      <c r="L30" s="14" t="s">
        <v>29</v>
      </c>
    </row>
    <row r="31" spans="1:12" x14ac:dyDescent="0.35">
      <c r="A31" s="15"/>
      <c r="B31" s="13"/>
      <c r="C31" s="13"/>
      <c r="D31" s="13"/>
      <c r="E31" s="13"/>
      <c r="F31" s="13"/>
      <c r="G31" s="13"/>
      <c r="H31" s="13"/>
      <c r="I31" s="13"/>
      <c r="J31" s="13"/>
      <c r="K31" s="33"/>
      <c r="L31" s="14"/>
    </row>
    <row r="33" spans="1:1" x14ac:dyDescent="0.35">
      <c r="A33" s="30" t="s">
        <v>22</v>
      </c>
    </row>
  </sheetData>
  <mergeCells count="18">
    <mergeCell ref="A26:J26"/>
    <mergeCell ref="A27:J27"/>
    <mergeCell ref="A29:J29"/>
    <mergeCell ref="A30:J30"/>
    <mergeCell ref="A21:J21"/>
    <mergeCell ref="A24:J24"/>
    <mergeCell ref="A5:J5"/>
    <mergeCell ref="A6:J6"/>
    <mergeCell ref="A23:J23"/>
    <mergeCell ref="A8:J8"/>
    <mergeCell ref="A11:J11"/>
    <mergeCell ref="A12:J12"/>
    <mergeCell ref="A18:J18"/>
    <mergeCell ref="A20:J20"/>
    <mergeCell ref="A9:J9"/>
    <mergeCell ref="A14:J14"/>
    <mergeCell ref="A15:J15"/>
    <mergeCell ref="A17:J17"/>
  </mergeCells>
  <pageMargins left="0.7" right="0.7" top="0.75" bottom="0.75" header="0.3" footer="0.3"/>
  <pageSetup paperSize="9" scale="71" fitToHeight="0" orientation="landscape" horizontalDpi="1200" verticalDpi="1200" r:id="rId1"/>
  <headerFooter>
    <oddHeader>&amp;L&amp;"Calibri"&amp;11&amp;K000000                    Official (Closed) - Non Sensitive&amp;1#</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ublishingExpirationDate xmlns="http://schemas.microsoft.com/sharepoint/v3" xsi:nil="true"/>
    <PublishingStartDate xmlns="http://schemas.microsoft.com/sharepoint/v3" xsi:nil="true"/>
    <PublishingRollupImage xmlns="http://schemas.microsoft.com/sharepoint/v3" xsi:nil="true"/>
    <PublishingContactEmail xmlns="http://schemas.microsoft.com/sharepoint/v3" xsi:nil="true"/>
    <PublishingVariationRelationshipLinkFieldID xmlns="http://schemas.microsoft.com/sharepoint/v3">
      <Url xsi:nil="true"/>
      <Description xsi:nil="true"/>
    </PublishingVariationRelationshipLinkFieldID>
    <SeoKeywords xmlns="http://schemas.microsoft.com/sharepoint/v3" xsi:nil="true"/>
    <PublishingVariationGroupID xmlns="http://schemas.microsoft.com/sharepoint/v3" xsi:nil="true"/>
    <Audience xmlns="http://schemas.microsoft.com/sharepoint/v3" xsi:nil="true"/>
    <PublishingIsFurlPage xmlns="http://schemas.microsoft.com/sharepoint/v3" xsi:nil="true"/>
    <SeoBrowserTitle xmlns="http://schemas.microsoft.com/sharepoint/v3" xsi:nil="true"/>
    <PublishingContactPicture xmlns="http://schemas.microsoft.com/sharepoint/v3">
      <Url xsi:nil="true"/>
      <Description xsi:nil="true"/>
    </PublishingContactPicture>
    <SeoRobotsNoIndex xmlns="http://schemas.microsoft.com/sharepoint/v3" xsi:nil="true"/>
    <SeoMetaDescription xmlns="http://schemas.microsoft.com/sharepoint/v3" xsi:nil="true"/>
    <PublishingContact xmlns="http://schemas.microsoft.com/sharepoint/v3">
      <UserInfo>
        <DisplayName/>
        <AccountId xsi:nil="true"/>
        <AccountType/>
      </UserInfo>
    </PublishingContact>
    <PublishingContactName xmlns="http://schemas.microsoft.com/sharepoint/v3" xsi:nil="true"/>
    <Comments xmlns="http://schemas.microsoft.com/sharepoint/v3" xsi:nil="true"/>
  </documentManagement>
</p:properties>
</file>

<file path=customXml/item2.xml><?xml version="1.0" encoding="utf-8"?>
<ct:contentTypeSchema xmlns:ct="http://schemas.microsoft.com/office/2006/metadata/contentType" xmlns:ma="http://schemas.microsoft.com/office/2006/metadata/properties/metaAttributes" ct:_="" ma:_="" ma:contentTypeName="Page" ma:contentTypeID="0x010100C568DB52D9D0A14D9B2FDCC96666E9F2007948130EC3DB064584E219954237AF39002797A539312F804D8B1369106FF8703A" ma:contentTypeVersion="17" ma:contentTypeDescription="Page is a system content type template created by the Publishing Resources feature. The column templates from Page will be added to all Pages libraries created by the Publishing feature." ma:contentTypeScope="" ma:versionID="17071adb9e28b9a29f058f9b39cf1adc">
  <xsd:schema xmlns:xsd="http://www.w3.org/2001/XMLSchema" xmlns:xs="http://www.w3.org/2001/XMLSchema" xmlns:p="http://schemas.microsoft.com/office/2006/metadata/properties" xmlns:ns1="http://schemas.microsoft.com/sharepoint/v3" targetNamespace="http://schemas.microsoft.com/office/2006/metadata/properties" ma:root="true" ma:fieldsID="12723f131994a92cf5f60ab69414e60e" ns1:_="">
    <xsd:import namespace="http://schemas.microsoft.com/sharepoint/v3"/>
    <xsd:element name="properties">
      <xsd:complexType>
        <xsd:sequence>
          <xsd:element name="documentManagement">
            <xsd:complexType>
              <xsd:all>
                <xsd:element ref="ns1:Comments" minOccurs="0"/>
                <xsd:element ref="ns1:PublishingStartDate" minOccurs="0"/>
                <xsd:element ref="ns1:PublishingExpirationDate" minOccurs="0"/>
                <xsd:element ref="ns1:PublishingContact" minOccurs="0"/>
                <xsd:element ref="ns1:PublishingContactEmail" minOccurs="0"/>
                <xsd:element ref="ns1:PublishingContactName" minOccurs="0"/>
                <xsd:element ref="ns1:PublishingContactPicture" minOccurs="0"/>
                <xsd:element ref="ns1:PublishingPageLayout" minOccurs="0"/>
                <xsd:element ref="ns1:PublishingVariationGroupID" minOccurs="0"/>
                <xsd:element ref="ns1:PublishingVariationRelationshipLinkFieldID" minOccurs="0"/>
                <xsd:element ref="ns1:PublishingRollupImage" minOccurs="0"/>
                <xsd:element ref="ns1:Audience" minOccurs="0"/>
                <xsd:element ref="ns1:PublishingIsFurlPage" minOccurs="0"/>
                <xsd:element ref="ns1:SeoBrowserTitle" minOccurs="0"/>
                <xsd:element ref="ns1:SeoMetaDescription" minOccurs="0"/>
                <xsd:element ref="ns1:SeoKeywords" minOccurs="0"/>
                <xsd:element ref="ns1:SeoRobotsNoIndex"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Comments" ma:index="4" nillable="true" ma:displayName="Description" ma:internalName="Comments" ma:readOnly="false">
      <xsd:simpleType>
        <xsd:restriction base="dms:Note">
          <xsd:maxLength value="255"/>
        </xsd:restriction>
      </xsd:simpleType>
    </xsd:element>
    <xsd:element name="PublishingStartDate" ma:index="5" nillable="true" ma:displayName="Scheduling Start Date" ma:description="" ma:internalName="PublishingStartDate">
      <xsd:simpleType>
        <xsd:restriction base="dms:Unknown"/>
      </xsd:simpleType>
    </xsd:element>
    <xsd:element name="PublishingExpirationDate" ma:index="6" nillable="true" ma:displayName="Scheduling End Date" ma:description="" ma:internalName="PublishingExpirationDate">
      <xsd:simpleType>
        <xsd:restriction base="dms:Unknown"/>
      </xsd:simpleType>
    </xsd:element>
    <xsd:element name="PublishingContact" ma:index="7" nillable="true" ma:displayName="Contact" ma:description="" ma:list="UserInfo" ma:internalName="PublishingContact">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PublishingContactEmail" ma:index="8" nillable="true" ma:displayName="Contact E-Mail Address" ma:description="" ma:internalName="PublishingContactEmail">
      <xsd:simpleType>
        <xsd:restriction base="dms:Text">
          <xsd:maxLength value="255"/>
        </xsd:restriction>
      </xsd:simpleType>
    </xsd:element>
    <xsd:element name="PublishingContactName" ma:index="9" nillable="true" ma:displayName="Contact Name" ma:description="" ma:internalName="PublishingContactName">
      <xsd:simpleType>
        <xsd:restriction base="dms:Text">
          <xsd:maxLength value="255"/>
        </xsd:restriction>
      </xsd:simpleType>
    </xsd:element>
    <xsd:element name="PublishingContactPicture" ma:index="10" nillable="true" ma:displayName="Contact Picture" ma:description="" ma:format="Image" ma:internalName="PublishingContactPicture">
      <xsd:complexType>
        <xsd:complexContent>
          <xsd:extension base="dms:URL">
            <xsd:sequence>
              <xsd:element name="Url" type="dms:ValidUrl" minOccurs="0" nillable="true"/>
              <xsd:element name="Description" type="xsd:string" nillable="true"/>
            </xsd:sequence>
          </xsd:extension>
        </xsd:complexContent>
      </xsd:complexType>
    </xsd:element>
    <xsd:element name="PublishingPageLayout" ma:index="11" nillable="true" ma:displayName="Page Layout" ma:internalName="PublishingPageLayout"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PublishingVariationGroupID" ma:index="12" nillable="true" ma:displayName="Variation Group ID" ma:hidden="true" ma:internalName="PublishingVariationGroupID">
      <xsd:simpleType>
        <xsd:restriction base="dms:Text">
          <xsd:maxLength value="255"/>
        </xsd:restriction>
      </xsd:simpleType>
    </xsd:element>
    <xsd:element name="PublishingVariationRelationshipLinkFieldID" ma:index="13" nillable="true" ma:displayName="Variation Relationship Link" ma:hidden="true" ma:internalName="PublishingVariationRelationshipLinkFieldID">
      <xsd:complexType>
        <xsd:complexContent>
          <xsd:extension base="dms:URL">
            <xsd:sequence>
              <xsd:element name="Url" type="dms:ValidUrl" minOccurs="0" nillable="true"/>
              <xsd:element name="Description" type="xsd:string" nillable="true"/>
            </xsd:sequence>
          </xsd:extension>
        </xsd:complexContent>
      </xsd:complexType>
    </xsd:element>
    <xsd:element name="PublishingRollupImage" ma:index="14" nillable="true" ma:displayName="Rollup Image" ma:description="" ma:internalName="PublishingRollupImage">
      <xsd:simpleType>
        <xsd:restriction base="dms:Unknown"/>
      </xsd:simpleType>
    </xsd:element>
    <xsd:element name="Audience" ma:index="15" nillable="true" ma:displayName="Target Audiences" ma:description="" ma:internalName="Audience">
      <xsd:simpleType>
        <xsd:restriction base="dms:Unknown"/>
      </xsd:simpleType>
    </xsd:element>
    <xsd:element name="PublishingIsFurlPage" ma:index="20" nillable="true" ma:displayName="Hide physical URLs from search" ma:description="If checked, the physical URL of this page will not appear in search results. Friendly URLs assigned to this page will always appear." ma:internalName="PublishingIsFurlPage">
      <xsd:simpleType>
        <xsd:restriction base="dms:Boolean"/>
      </xsd:simpleType>
    </xsd:element>
    <xsd:element name="SeoBrowserTitle" ma:index="21" nillable="true" ma:displayName="Browser Title" ma:description="Browser Title is a site column created by the Publishing feature. It is used as the title that appears at the top of a browser window and may appear in Internet search results." ma:hidden="true" ma:internalName="SeoBrowserTitle">
      <xsd:simpleType>
        <xsd:restriction base="dms:Text"/>
      </xsd:simpleType>
    </xsd:element>
    <xsd:element name="SeoMetaDescription" ma:index="22" nillable="true" ma:displayName="Meta Description" ma:description="Meta Description is a site column created by the Publishing feature. Internet search engines may display this description in search results pages." ma:hidden="true" ma:internalName="SeoMetaDescription">
      <xsd:simpleType>
        <xsd:restriction base="dms:Text"/>
      </xsd:simpleType>
    </xsd:element>
    <xsd:element name="SeoKeywords" ma:index="23" nillable="true" ma:displayName="Meta Keywords" ma:description="Meta Keywords" ma:hidden="true" ma:internalName="SeoKeywords">
      <xsd:simpleType>
        <xsd:restriction base="dms:Text"/>
      </xsd:simpleType>
    </xsd:element>
    <xsd:element name="SeoRobotsNoIndex" ma:index="24" nillable="true" ma:displayName="Hide from Internet Search Engines" ma:description="Hide from Internet Search Engines is a site column created by the Publishing feature. It is used to indicate to search engine crawlers that a particular page should not be indexed." ma:hidden="true" ma:internalName="RobotsNoIndex">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6" ma:displayName="Content Type" ma:readOnly="tru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259E015-6037-4551-B444-4D92852A567E}">
  <ds:schemaRefs>
    <ds:schemaRef ds:uri="http://schemas.microsoft.com/office/2006/documentManagement/types"/>
    <ds:schemaRef ds:uri="http://schemas.microsoft.com/office/infopath/2007/PartnerControls"/>
    <ds:schemaRef ds:uri="http://www.w3.org/XML/1998/namespace"/>
    <ds:schemaRef ds:uri="http://purl.org/dc/terms/"/>
    <ds:schemaRef ds:uri="http://purl.org/dc/elements/1.1/"/>
    <ds:schemaRef ds:uri="http://schemas.openxmlformats.org/package/2006/metadata/core-properties"/>
    <ds:schemaRef ds:uri="http://schemas.microsoft.com/office/2006/metadata/properties"/>
    <ds:schemaRef ds:uri="http://purl.org/dc/dcmitype/"/>
    <ds:schemaRef ds:uri="http://schemas.microsoft.com/sharepoint/v3"/>
  </ds:schemaRefs>
</ds:datastoreItem>
</file>

<file path=customXml/itemProps2.xml><?xml version="1.0" encoding="utf-8"?>
<ds:datastoreItem xmlns:ds="http://schemas.openxmlformats.org/officeDocument/2006/customXml" ds:itemID="{6E608823-FFD3-47B1-ABAB-09FDBE6430A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2DD3C2C7-F06D-4C94-9BF7-C920172F6FBA}">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Overview</vt:lpstr>
      <vt:lpstr>Project Team - Timeline</vt:lpstr>
      <vt:lpstr>Project Info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Lee Keen Kok</dc:creator>
  <cp:lastModifiedBy>Benjamin WING (NP)</cp:lastModifiedBy>
  <cp:lastPrinted>2021-10-05T03:44:00Z</cp:lastPrinted>
  <dcterms:created xsi:type="dcterms:W3CDTF">2021-10-05T01:50:37Z</dcterms:created>
  <dcterms:modified xsi:type="dcterms:W3CDTF">2025-12-10T06:47:43Z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0x010100C568DB52D9D0A14D9B2FDCC96666E9F2007948130EC3DB064584E219954237AF39002797A539312F804D8B1369106FF8703A</vt:lpwstr>
  </property>
  <property fmtid="{D5CDD505-2E9C-101B-9397-08002B2CF9AE}" pid="3" name="MSIP_Label_30286cb9-b49f-4646-87a5-340028348160_Enabled">
    <vt:lpwstr>true</vt:lpwstr>
  </property>
  <property fmtid="{D5CDD505-2E9C-101B-9397-08002B2CF9AE}" pid="4" name="MSIP_Label_30286cb9-b49f-4646-87a5-340028348160_SetDate">
    <vt:lpwstr>2023-07-25T02:42:35Z</vt:lpwstr>
  </property>
  <property fmtid="{D5CDD505-2E9C-101B-9397-08002B2CF9AE}" pid="5" name="MSIP_Label_30286cb9-b49f-4646-87a5-340028348160_Method">
    <vt:lpwstr>Standard</vt:lpwstr>
  </property>
  <property fmtid="{D5CDD505-2E9C-101B-9397-08002B2CF9AE}" pid="6" name="MSIP_Label_30286cb9-b49f-4646-87a5-340028348160_Name">
    <vt:lpwstr>30286cb9-b49f-4646-87a5-340028348160</vt:lpwstr>
  </property>
  <property fmtid="{D5CDD505-2E9C-101B-9397-08002B2CF9AE}" pid="7" name="MSIP_Label_30286cb9-b49f-4646-87a5-340028348160_SiteId">
    <vt:lpwstr>cba9e115-3016-4462-a1ab-a565cba0cdf1</vt:lpwstr>
  </property>
  <property fmtid="{D5CDD505-2E9C-101B-9397-08002B2CF9AE}" pid="8" name="MSIP_Label_30286cb9-b49f-4646-87a5-340028348160_ActionId">
    <vt:lpwstr>d4a948da-13b1-4a03-863f-b2f0033ff71d</vt:lpwstr>
  </property>
  <property fmtid="{D5CDD505-2E9C-101B-9397-08002B2CF9AE}" pid="9" name="MSIP_Label_30286cb9-b49f-4646-87a5-340028348160_ContentBits">
    <vt:lpwstr>1</vt:lpwstr>
  </property>
  <property fmtid="{D5CDD505-2E9C-101B-9397-08002B2CF9AE}" pid="10" name="Order">
    <vt:r8>500</vt:r8>
  </property>
  <property fmtid="{D5CDD505-2E9C-101B-9397-08002B2CF9AE}" pid="11" name="xd_ProgID">
    <vt:lpwstr/>
  </property>
  <property fmtid="{D5CDD505-2E9C-101B-9397-08002B2CF9AE}" pid="12" name="TemplateUrl">
    <vt:lpwstr/>
  </property>
  <property fmtid="{D5CDD505-2E9C-101B-9397-08002B2CF9AE}" pid="13" name="_CopySource">
    <vt:lpwstr>https://staffhome.np.edu.sg/campus/tdi/SiteCollectionDocuments/DGF/NP_Grant_Proposal_Template_v2.3.xlsx</vt:lpwstr>
  </property>
</Properties>
</file>